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said-my.sharepoint.com/personal/sbsmfe25086_said_oxford_edu/Documents/Desktop/"/>
    </mc:Choice>
  </mc:AlternateContent>
  <xr:revisionPtr revIDLastSave="0" documentId="8_{D5BFCBD3-BA22-433F-BB1F-5785A1634F29}" xr6:coauthVersionLast="47" xr6:coauthVersionMax="47" xr10:uidLastSave="{00000000-0000-0000-0000-000000000000}"/>
  <bookViews>
    <workbookView xWindow="-80" yWindow="-80" windowWidth="22560" windowHeight="13440" tabRatio="927" firstSheet="4" activeTab="9" xr2:uid="{00000000-000D-0000-FFFF-FFFF00000000}"/>
  </bookViews>
  <sheets>
    <sheet name="Assumptions |" sheetId="1" r:id="rId1"/>
    <sheet name="Summary" sheetId="2" r:id="rId2"/>
    <sheet name="WACC" sheetId="3" r:id="rId3"/>
    <sheet name="Terminal Growth" sheetId="4" r:id="rId4"/>
    <sheet name="Forecast |" sheetId="15" r:id="rId5"/>
    <sheet name="Forecast_IS" sheetId="5" r:id="rId6"/>
    <sheet name="Forecast_BS" sheetId="6" r:id="rId7"/>
    <sheet name="Forecast_CF" sheetId="7" r:id="rId8"/>
    <sheet name="Model |" sheetId="16" r:id="rId9"/>
    <sheet name="DCF" sheetId="17" r:id="rId10"/>
    <sheet name="Historicals |" sheetId="10" r:id="rId11"/>
    <sheet name="Income Statement" sheetId="11" r:id="rId12"/>
    <sheet name="Balance Sheet" sheetId="12" r:id="rId13"/>
    <sheet name="Cash Flow Statement" sheetId="13" r:id="rId14"/>
    <sheet name="Operating Metrics" sheetId="14"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2" i="4" l="1"/>
  <c r="D33" i="6"/>
  <c r="B33" i="6"/>
  <c r="C33" i="6"/>
  <c r="D30" i="6"/>
  <c r="D14" i="7" l="1"/>
  <c r="E19" i="13"/>
  <c r="I22" i="4"/>
  <c r="G5" i="5"/>
  <c r="F19" i="14"/>
  <c r="E19" i="14"/>
  <c r="D19" i="14"/>
  <c r="F16" i="14"/>
  <c r="E16" i="14"/>
  <c r="F15" i="14"/>
  <c r="E15" i="14"/>
  <c r="D15" i="14"/>
  <c r="X3" i="17" l="1"/>
  <c r="O32" i="17"/>
  <c r="P32" i="17" s="1"/>
  <c r="Q32" i="17" s="1"/>
  <c r="L35" i="17"/>
  <c r="L36" i="17" s="1"/>
  <c r="L37" i="17" s="1"/>
  <c r="O25" i="17"/>
  <c r="P25" i="17" s="1"/>
  <c r="Q25" i="17" s="1"/>
  <c r="L28" i="17"/>
  <c r="L29" i="17" s="1"/>
  <c r="L30" i="17" s="1"/>
  <c r="O18" i="17"/>
  <c r="P18" i="17" s="1"/>
  <c r="Q18" i="17" s="1"/>
  <c r="L21" i="17"/>
  <c r="L22" i="17"/>
  <c r="L23" i="17" s="1"/>
  <c r="D21" i="3"/>
  <c r="D18" i="3"/>
  <c r="D17" i="3"/>
  <c r="D24" i="3"/>
  <c r="D23" i="3"/>
  <c r="X10" i="17"/>
  <c r="X9" i="17"/>
  <c r="X7" i="17" s="1"/>
  <c r="X4" i="17"/>
  <c r="D5" i="3"/>
  <c r="AC45" i="17"/>
  <c r="AB45" i="17"/>
  <c r="AA45" i="17"/>
  <c r="AC44" i="17"/>
  <c r="AB44" i="17"/>
  <c r="AA44" i="17"/>
  <c r="AC47" i="17"/>
  <c r="AB47" i="17"/>
  <c r="AA47" i="17"/>
  <c r="AC32" i="17"/>
  <c r="AB32" i="17"/>
  <c r="AA32" i="17"/>
  <c r="AC30" i="17"/>
  <c r="AB30" i="17"/>
  <c r="AA30" i="17"/>
  <c r="AC29" i="17"/>
  <c r="AB29" i="17"/>
  <c r="AA29" i="17"/>
  <c r="R25" i="2"/>
  <c r="S25" i="2"/>
  <c r="T25" i="2"/>
  <c r="U25" i="2"/>
  <c r="Q25" i="2"/>
  <c r="M25" i="2"/>
  <c r="N25" i="2"/>
  <c r="O25" i="2"/>
  <c r="P25" i="2"/>
  <c r="L25" i="2"/>
  <c r="K25" i="2"/>
  <c r="J25" i="2"/>
  <c r="I25" i="2"/>
  <c r="H25" i="2"/>
  <c r="G25" i="2"/>
  <c r="F22" i="6"/>
  <c r="G22" i="6"/>
  <c r="H22" i="6"/>
  <c r="I22" i="6"/>
  <c r="J22" i="6"/>
  <c r="K22" i="6"/>
  <c r="L22" i="6"/>
  <c r="M22" i="6"/>
  <c r="N22" i="6"/>
  <c r="O22" i="6"/>
  <c r="P22" i="6"/>
  <c r="Q22" i="6"/>
  <c r="R22" i="6"/>
  <c r="S22" i="6"/>
  <c r="E22" i="6"/>
  <c r="AC21" i="17"/>
  <c r="AB21" i="17"/>
  <c r="AA21" i="17"/>
  <c r="F9" i="17"/>
  <c r="G9" i="17"/>
  <c r="H9" i="17"/>
  <c r="I9" i="17"/>
  <c r="J9" i="17"/>
  <c r="K9" i="17"/>
  <c r="L9" i="17"/>
  <c r="M9" i="17"/>
  <c r="N9" i="17"/>
  <c r="O9" i="17"/>
  <c r="P9" i="17"/>
  <c r="Q9" i="17"/>
  <c r="R9" i="17"/>
  <c r="S9" i="17"/>
  <c r="E9" i="17"/>
  <c r="P29" i="6"/>
  <c r="Q29" i="6" s="1"/>
  <c r="R29" i="6" s="1"/>
  <c r="S29" i="6" s="1"/>
  <c r="O29" i="6"/>
  <c r="K29" i="6"/>
  <c r="L29" i="6" s="1"/>
  <c r="M29" i="6" s="1"/>
  <c r="N29" i="6" s="1"/>
  <c r="J29" i="6"/>
  <c r="I29" i="6"/>
  <c r="H29" i="6"/>
  <c r="G29" i="6"/>
  <c r="F29" i="6"/>
  <c r="E29" i="6"/>
  <c r="G24" i="7"/>
  <c r="D35" i="7"/>
  <c r="E35" i="7"/>
  <c r="O36" i="6"/>
  <c r="F26" i="7"/>
  <c r="S26" i="7"/>
  <c r="R26" i="7"/>
  <c r="Q26" i="7"/>
  <c r="P26" i="7"/>
  <c r="I26" i="7"/>
  <c r="H26" i="7"/>
  <c r="G26" i="7"/>
  <c r="N26" i="7"/>
  <c r="M26" i="7"/>
  <c r="L26" i="7"/>
  <c r="E35" i="6"/>
  <c r="B14" i="7"/>
  <c r="B34" i="7" s="1"/>
  <c r="B10" i="7"/>
  <c r="B7" i="7"/>
  <c r="B54" i="5"/>
  <c r="D7" i="3"/>
  <c r="S46" i="5"/>
  <c r="R46" i="5"/>
  <c r="Q46" i="5"/>
  <c r="P46" i="5"/>
  <c r="O46" i="5"/>
  <c r="N46" i="5"/>
  <c r="M46" i="5"/>
  <c r="L46" i="5"/>
  <c r="K46" i="5"/>
  <c r="J46" i="5"/>
  <c r="I46" i="5"/>
  <c r="H46" i="5"/>
  <c r="G46" i="5"/>
  <c r="F46" i="5"/>
  <c r="B14" i="5"/>
  <c r="B5" i="5"/>
  <c r="D54" i="5"/>
  <c r="C54" i="5"/>
  <c r="G38" i="13"/>
  <c r="F38" i="13"/>
  <c r="E38" i="13"/>
  <c r="G26" i="13"/>
  <c r="F26" i="13"/>
  <c r="E26" i="13"/>
  <c r="G19" i="13"/>
  <c r="F19" i="13"/>
  <c r="G43" i="12"/>
  <c r="D42" i="6" s="1"/>
  <c r="G42" i="12"/>
  <c r="D41" i="6" s="1"/>
  <c r="F42" i="12"/>
  <c r="C41" i="6" s="1"/>
  <c r="G40" i="12"/>
  <c r="F40" i="12"/>
  <c r="E40" i="12"/>
  <c r="E42" i="12" s="1"/>
  <c r="B41" i="6" s="1"/>
  <c r="G33" i="12"/>
  <c r="F33" i="12"/>
  <c r="G29" i="12"/>
  <c r="F29" i="12"/>
  <c r="E29" i="12"/>
  <c r="B26" i="6" s="1"/>
  <c r="G17" i="12"/>
  <c r="G19" i="12" s="1"/>
  <c r="F17" i="12"/>
  <c r="C16" i="6" s="1"/>
  <c r="E17" i="12"/>
  <c r="B16" i="6" s="1"/>
  <c r="E11" i="12"/>
  <c r="E12" i="12" s="1"/>
  <c r="B10" i="6" s="1"/>
  <c r="G38" i="11"/>
  <c r="F38" i="11"/>
  <c r="E38" i="11"/>
  <c r="G28" i="11"/>
  <c r="D34" i="5" s="1"/>
  <c r="F28" i="11"/>
  <c r="C34" i="5" s="1"/>
  <c r="E28" i="11"/>
  <c r="B34" i="5" s="1"/>
  <c r="G21" i="11"/>
  <c r="F21" i="11"/>
  <c r="E21" i="11"/>
  <c r="G15" i="11"/>
  <c r="F15" i="11"/>
  <c r="E15" i="11"/>
  <c r="B24" i="5" s="1"/>
  <c r="G8" i="11"/>
  <c r="F8" i="11"/>
  <c r="E8" i="11"/>
  <c r="D17" i="14" s="1"/>
  <c r="O35" i="7"/>
  <c r="J35" i="7"/>
  <c r="C35" i="7"/>
  <c r="B35" i="7"/>
  <c r="D31" i="7"/>
  <c r="C31" i="7"/>
  <c r="B31" i="7"/>
  <c r="D29" i="7"/>
  <c r="C29" i="7"/>
  <c r="B29" i="7"/>
  <c r="D27" i="7"/>
  <c r="C27" i="7"/>
  <c r="B27" i="7"/>
  <c r="K26" i="7"/>
  <c r="D26" i="7"/>
  <c r="C26" i="7"/>
  <c r="B26" i="7"/>
  <c r="D25" i="7"/>
  <c r="C25" i="7"/>
  <c r="B25" i="7"/>
  <c r="S24" i="7"/>
  <c r="R24" i="7"/>
  <c r="Q24" i="7"/>
  <c r="P24" i="7"/>
  <c r="O24" i="7"/>
  <c r="N24" i="7"/>
  <c r="M24" i="7"/>
  <c r="L24" i="7"/>
  <c r="K24" i="7"/>
  <c r="J24" i="7"/>
  <c r="I24" i="7"/>
  <c r="H24" i="7"/>
  <c r="F24" i="7"/>
  <c r="E24" i="7"/>
  <c r="D24" i="7"/>
  <c r="C24" i="7"/>
  <c r="B24" i="7"/>
  <c r="D21" i="7"/>
  <c r="C21" i="7"/>
  <c r="B21" i="7"/>
  <c r="S19" i="7"/>
  <c r="R19" i="7"/>
  <c r="Q19" i="7"/>
  <c r="P19" i="7"/>
  <c r="O19" i="7"/>
  <c r="N19" i="7"/>
  <c r="M19" i="7"/>
  <c r="L19" i="7"/>
  <c r="K19" i="7"/>
  <c r="J19" i="7"/>
  <c r="I19" i="7"/>
  <c r="H19" i="7"/>
  <c r="G19" i="7"/>
  <c r="F19" i="7"/>
  <c r="E19" i="7"/>
  <c r="D19" i="7"/>
  <c r="C19" i="7"/>
  <c r="B19" i="7"/>
  <c r="S18" i="7"/>
  <c r="R18" i="7"/>
  <c r="Q18" i="7"/>
  <c r="P18" i="7"/>
  <c r="O18" i="7"/>
  <c r="N18" i="7"/>
  <c r="M18" i="7"/>
  <c r="L18" i="7"/>
  <c r="K18" i="7"/>
  <c r="J18" i="7"/>
  <c r="I18" i="7"/>
  <c r="H18" i="7"/>
  <c r="G18" i="7"/>
  <c r="F18" i="7"/>
  <c r="E18" i="7"/>
  <c r="D18" i="7"/>
  <c r="C18" i="7"/>
  <c r="B18" i="7"/>
  <c r="O17" i="7"/>
  <c r="N17" i="7"/>
  <c r="M17" i="7"/>
  <c r="L17" i="7"/>
  <c r="K17" i="7"/>
  <c r="J17" i="7"/>
  <c r="E17" i="7"/>
  <c r="D17" i="7"/>
  <c r="C17" i="7"/>
  <c r="B17" i="7"/>
  <c r="D12" i="7"/>
  <c r="C12" i="7"/>
  <c r="B12" i="7"/>
  <c r="D11" i="7"/>
  <c r="C11" i="7"/>
  <c r="B11" i="7"/>
  <c r="D10" i="7"/>
  <c r="C10" i="7"/>
  <c r="D8" i="7"/>
  <c r="C8" i="7"/>
  <c r="B8" i="7"/>
  <c r="S7" i="7"/>
  <c r="R7" i="7"/>
  <c r="Q7" i="7"/>
  <c r="P7" i="7"/>
  <c r="O7" i="7"/>
  <c r="N7" i="7"/>
  <c r="M7" i="7"/>
  <c r="L7" i="7"/>
  <c r="K7" i="7"/>
  <c r="J7" i="7"/>
  <c r="I7" i="7"/>
  <c r="H7" i="7"/>
  <c r="G7" i="7"/>
  <c r="F7" i="7"/>
  <c r="E7" i="7"/>
  <c r="D7" i="7"/>
  <c r="C7" i="7"/>
  <c r="D6" i="7"/>
  <c r="C6" i="7"/>
  <c r="B6" i="7"/>
  <c r="D5" i="7"/>
  <c r="C5" i="7"/>
  <c r="B5" i="7"/>
  <c r="D40" i="6"/>
  <c r="C40" i="6"/>
  <c r="B40" i="6"/>
  <c r="D39" i="6"/>
  <c r="C39" i="6"/>
  <c r="B39" i="6"/>
  <c r="S38" i="6"/>
  <c r="R38" i="6"/>
  <c r="Q38" i="6"/>
  <c r="P38" i="6"/>
  <c r="O38" i="6"/>
  <c r="N38" i="6"/>
  <c r="M38" i="6"/>
  <c r="L38" i="6"/>
  <c r="K38" i="6"/>
  <c r="J38" i="6"/>
  <c r="I38" i="6"/>
  <c r="H38" i="6"/>
  <c r="G38" i="6"/>
  <c r="F38" i="6"/>
  <c r="E38" i="6"/>
  <c r="D38" i="6"/>
  <c r="C38" i="6"/>
  <c r="B38" i="6"/>
  <c r="D37" i="6"/>
  <c r="C37" i="6"/>
  <c r="B37" i="6"/>
  <c r="D36" i="6"/>
  <c r="E36" i="6" s="1"/>
  <c r="C36" i="6"/>
  <c r="B36" i="6"/>
  <c r="S35" i="6"/>
  <c r="R35" i="6"/>
  <c r="Q35" i="6"/>
  <c r="P35" i="6"/>
  <c r="O35" i="6"/>
  <c r="N35" i="6"/>
  <c r="M35" i="6"/>
  <c r="L35" i="6"/>
  <c r="K35" i="6"/>
  <c r="J35" i="6"/>
  <c r="I35" i="6"/>
  <c r="H35" i="6"/>
  <c r="G35" i="6"/>
  <c r="F35" i="6"/>
  <c r="D35" i="6"/>
  <c r="C35" i="6"/>
  <c r="B35" i="6"/>
  <c r="D32" i="6"/>
  <c r="S31" i="6"/>
  <c r="R31" i="6"/>
  <c r="Q31" i="6"/>
  <c r="P31" i="6"/>
  <c r="O31" i="6"/>
  <c r="N31" i="6"/>
  <c r="M31" i="6"/>
  <c r="L31" i="6"/>
  <c r="K31" i="6"/>
  <c r="J31" i="6"/>
  <c r="I31" i="6"/>
  <c r="H31" i="6"/>
  <c r="G31" i="6"/>
  <c r="F31" i="6"/>
  <c r="E31" i="6"/>
  <c r="D31" i="6"/>
  <c r="C31" i="6"/>
  <c r="B31" i="6"/>
  <c r="S30" i="6"/>
  <c r="R30" i="6"/>
  <c r="Q30" i="6"/>
  <c r="P30" i="6"/>
  <c r="O30" i="6"/>
  <c r="N30" i="6"/>
  <c r="M30" i="6"/>
  <c r="L30" i="6"/>
  <c r="K30" i="6"/>
  <c r="J30" i="6"/>
  <c r="I30" i="6"/>
  <c r="H30" i="6"/>
  <c r="G30" i="6"/>
  <c r="F30" i="6"/>
  <c r="E30" i="6"/>
  <c r="C30" i="6"/>
  <c r="B30" i="6"/>
  <c r="D29" i="6"/>
  <c r="C29" i="6"/>
  <c r="B29" i="6"/>
  <c r="D26" i="6"/>
  <c r="C26" i="6"/>
  <c r="S25" i="6"/>
  <c r="R25" i="6"/>
  <c r="Q25" i="6"/>
  <c r="P25" i="6"/>
  <c r="O25" i="6"/>
  <c r="N25" i="6"/>
  <c r="M25" i="6"/>
  <c r="L25" i="6"/>
  <c r="K25" i="6"/>
  <c r="J25" i="6"/>
  <c r="I25" i="6"/>
  <c r="H25" i="6"/>
  <c r="G25" i="6"/>
  <c r="F25" i="6"/>
  <c r="E25" i="6"/>
  <c r="D25" i="6"/>
  <c r="C25" i="6"/>
  <c r="B25" i="6"/>
  <c r="D24" i="6"/>
  <c r="C24" i="6"/>
  <c r="B24" i="6"/>
  <c r="S23" i="6"/>
  <c r="R23" i="6"/>
  <c r="Q23" i="6"/>
  <c r="P23" i="6"/>
  <c r="O23" i="6"/>
  <c r="N23" i="6"/>
  <c r="M23" i="6"/>
  <c r="L23" i="6"/>
  <c r="K23" i="6"/>
  <c r="J23" i="6"/>
  <c r="I23" i="6"/>
  <c r="H23" i="6"/>
  <c r="G23" i="6"/>
  <c r="F23" i="6"/>
  <c r="E23" i="6"/>
  <c r="D23" i="6"/>
  <c r="C23" i="6"/>
  <c r="B23" i="6"/>
  <c r="D22" i="6"/>
  <c r="C22" i="6"/>
  <c r="B22" i="6"/>
  <c r="D21" i="6"/>
  <c r="C21" i="6"/>
  <c r="B21" i="6"/>
  <c r="S17" i="6"/>
  <c r="R17" i="6"/>
  <c r="Q17" i="6"/>
  <c r="P17" i="6"/>
  <c r="O17" i="6"/>
  <c r="N17" i="6"/>
  <c r="M17" i="6"/>
  <c r="L17" i="6"/>
  <c r="K17" i="6"/>
  <c r="J17" i="6"/>
  <c r="I17" i="6"/>
  <c r="H17" i="6"/>
  <c r="G17" i="6"/>
  <c r="F17" i="6"/>
  <c r="E17" i="6"/>
  <c r="D17" i="6"/>
  <c r="C17" i="6"/>
  <c r="B17" i="6"/>
  <c r="D16" i="6"/>
  <c r="D15" i="6"/>
  <c r="C15" i="6"/>
  <c r="B15" i="6"/>
  <c r="S14" i="6"/>
  <c r="R14" i="6"/>
  <c r="Q14" i="6"/>
  <c r="P14" i="6"/>
  <c r="O14" i="6"/>
  <c r="N14" i="6"/>
  <c r="M14" i="6"/>
  <c r="L14" i="6"/>
  <c r="K14" i="6"/>
  <c r="J14" i="6"/>
  <c r="I14" i="6"/>
  <c r="H14" i="6"/>
  <c r="G14" i="6"/>
  <c r="F14" i="6"/>
  <c r="E14" i="6"/>
  <c r="D14" i="6"/>
  <c r="C14" i="6"/>
  <c r="B14" i="6"/>
  <c r="D13" i="6"/>
  <c r="C13" i="6"/>
  <c r="B13" i="6"/>
  <c r="D10" i="6"/>
  <c r="C10" i="6"/>
  <c r="S9" i="6"/>
  <c r="R9" i="6"/>
  <c r="Q9" i="6"/>
  <c r="P9" i="6"/>
  <c r="O9" i="6"/>
  <c r="N9" i="6"/>
  <c r="M9" i="6"/>
  <c r="L9" i="6"/>
  <c r="K9" i="6"/>
  <c r="J9" i="6"/>
  <c r="I9" i="6"/>
  <c r="H9" i="6"/>
  <c r="G9" i="6"/>
  <c r="F9" i="6"/>
  <c r="E9" i="6"/>
  <c r="D9" i="6"/>
  <c r="C9" i="6"/>
  <c r="B9" i="6"/>
  <c r="S8" i="6"/>
  <c r="R8" i="6"/>
  <c r="Q8" i="6"/>
  <c r="P8" i="6"/>
  <c r="O8" i="6"/>
  <c r="N8" i="6"/>
  <c r="M8" i="6"/>
  <c r="L8" i="6"/>
  <c r="K8" i="6"/>
  <c r="J8" i="6"/>
  <c r="I8" i="6"/>
  <c r="H8" i="6"/>
  <c r="G8" i="6"/>
  <c r="F8" i="6"/>
  <c r="E8" i="6"/>
  <c r="D8" i="6"/>
  <c r="C8" i="6"/>
  <c r="B8" i="6"/>
  <c r="S7" i="6"/>
  <c r="R7" i="6"/>
  <c r="Q7" i="6"/>
  <c r="P7" i="6"/>
  <c r="O7" i="6"/>
  <c r="N7" i="6"/>
  <c r="M7" i="6"/>
  <c r="L7" i="6"/>
  <c r="K7" i="6"/>
  <c r="J7" i="6"/>
  <c r="I7" i="6"/>
  <c r="H7" i="6"/>
  <c r="G7" i="6"/>
  <c r="F7" i="6"/>
  <c r="E7" i="6"/>
  <c r="D7" i="6"/>
  <c r="C7" i="6"/>
  <c r="B7" i="6"/>
  <c r="D6" i="6"/>
  <c r="C6" i="6"/>
  <c r="B6" i="6"/>
  <c r="D5" i="6"/>
  <c r="C5" i="6"/>
  <c r="B5" i="6"/>
  <c r="O54" i="5"/>
  <c r="M54" i="5"/>
  <c r="L54" i="5"/>
  <c r="K54" i="5"/>
  <c r="J54" i="5"/>
  <c r="F54" i="5"/>
  <c r="E54" i="5"/>
  <c r="D51" i="5"/>
  <c r="C51" i="5"/>
  <c r="B51" i="5"/>
  <c r="D50" i="5"/>
  <c r="O50" i="5" s="1"/>
  <c r="C50" i="5"/>
  <c r="B50" i="5"/>
  <c r="D45" i="5"/>
  <c r="C45" i="5"/>
  <c r="B45" i="5"/>
  <c r="D43" i="5"/>
  <c r="C43" i="5"/>
  <c r="B43" i="5"/>
  <c r="S40" i="5"/>
  <c r="R40" i="5"/>
  <c r="Q40" i="5"/>
  <c r="P40" i="5"/>
  <c r="O40" i="5"/>
  <c r="N40" i="5"/>
  <c r="M40" i="5"/>
  <c r="L40" i="5"/>
  <c r="K40" i="5"/>
  <c r="J40" i="5"/>
  <c r="I40" i="5"/>
  <c r="H40" i="5"/>
  <c r="G40" i="5"/>
  <c r="F40" i="5"/>
  <c r="E40" i="5"/>
  <c r="D40" i="5"/>
  <c r="C40" i="5"/>
  <c r="B40" i="5"/>
  <c r="D38" i="5"/>
  <c r="C38" i="5"/>
  <c r="B38" i="5"/>
  <c r="D33" i="5"/>
  <c r="C33" i="5"/>
  <c r="B33" i="5"/>
  <c r="D32" i="5"/>
  <c r="C32" i="5"/>
  <c r="B32" i="5"/>
  <c r="D31" i="5"/>
  <c r="C31" i="5"/>
  <c r="B31" i="5"/>
  <c r="D27" i="5"/>
  <c r="C27" i="5"/>
  <c r="B27" i="5"/>
  <c r="D24" i="5"/>
  <c r="C24" i="5"/>
  <c r="D23" i="5"/>
  <c r="C23" i="5"/>
  <c r="B23" i="5"/>
  <c r="D22" i="5"/>
  <c r="C22" i="5"/>
  <c r="B22" i="5"/>
  <c r="D21" i="5"/>
  <c r="C21" i="5"/>
  <c r="B21" i="5"/>
  <c r="D20" i="5"/>
  <c r="C20" i="5"/>
  <c r="B20" i="5"/>
  <c r="D19" i="5"/>
  <c r="C19" i="5"/>
  <c r="B19" i="5"/>
  <c r="D16" i="5"/>
  <c r="D15" i="5"/>
  <c r="C15" i="5"/>
  <c r="B15" i="5"/>
  <c r="D14" i="5"/>
  <c r="C14" i="5"/>
  <c r="D13" i="5"/>
  <c r="C13" i="5"/>
  <c r="B13" i="5"/>
  <c r="D12" i="5"/>
  <c r="C12" i="5"/>
  <c r="B12" i="5"/>
  <c r="D11" i="5"/>
  <c r="C11" i="5"/>
  <c r="B11" i="5"/>
  <c r="D8" i="5"/>
  <c r="C8" i="5"/>
  <c r="B8" i="5"/>
  <c r="D7" i="5"/>
  <c r="C7" i="5"/>
  <c r="B7" i="5"/>
  <c r="D6" i="5"/>
  <c r="E6" i="5" s="1"/>
  <c r="C6" i="5"/>
  <c r="B6" i="5"/>
  <c r="D5" i="5"/>
  <c r="E5" i="5" s="1"/>
  <c r="E11" i="5" s="1"/>
  <c r="C5" i="5"/>
  <c r="L23" i="4"/>
  <c r="M19" i="4"/>
  <c r="M23" i="4" s="1"/>
  <c r="L19" i="4"/>
  <c r="M16" i="4"/>
  <c r="L16" i="4"/>
  <c r="K16" i="4"/>
  <c r="J16" i="4"/>
  <c r="I16" i="4"/>
  <c r="M14" i="4"/>
  <c r="L14" i="4"/>
  <c r="K14" i="4"/>
  <c r="J14" i="4"/>
  <c r="J19" i="4" s="1"/>
  <c r="J23" i="4" s="1"/>
  <c r="I14" i="4"/>
  <c r="I19" i="4" s="1"/>
  <c r="I23" i="4" s="1"/>
  <c r="M13" i="4"/>
  <c r="L13" i="4"/>
  <c r="K13" i="4"/>
  <c r="K19" i="4" s="1"/>
  <c r="K23" i="4" s="1"/>
  <c r="J13" i="4"/>
  <c r="I13" i="4"/>
  <c r="M12" i="4"/>
  <c r="L12" i="4"/>
  <c r="K12" i="4"/>
  <c r="J12" i="4"/>
  <c r="I12" i="4"/>
  <c r="M10" i="4"/>
  <c r="L10" i="4"/>
  <c r="K10" i="4"/>
  <c r="K18" i="4" s="1"/>
  <c r="K22" i="4" s="1"/>
  <c r="J10" i="4"/>
  <c r="I10" i="4"/>
  <c r="M9" i="4"/>
  <c r="L9" i="4"/>
  <c r="L18" i="4" s="1"/>
  <c r="L22" i="4" s="1"/>
  <c r="K9" i="4"/>
  <c r="J9" i="4"/>
  <c r="J18" i="4" s="1"/>
  <c r="J22" i="4" s="1"/>
  <c r="I9" i="4"/>
  <c r="I18" i="4" s="1"/>
  <c r="M8" i="4"/>
  <c r="L8" i="4"/>
  <c r="K8" i="4"/>
  <c r="J8" i="4"/>
  <c r="I8" i="4"/>
  <c r="M6" i="4"/>
  <c r="L6" i="4"/>
  <c r="K6" i="4"/>
  <c r="J6" i="4"/>
  <c r="I6" i="4"/>
  <c r="M5" i="4"/>
  <c r="M17" i="4" s="1"/>
  <c r="L5" i="4"/>
  <c r="L17" i="4" s="1"/>
  <c r="K5" i="4"/>
  <c r="K17" i="4" s="1"/>
  <c r="K24" i="4" s="1"/>
  <c r="J5" i="4"/>
  <c r="J17" i="4" s="1"/>
  <c r="I5" i="4"/>
  <c r="I17" i="4" s="1"/>
  <c r="M4" i="4"/>
  <c r="L4" i="4"/>
  <c r="K4" i="4"/>
  <c r="J4" i="4"/>
  <c r="I4" i="4"/>
  <c r="D11" i="3"/>
  <c r="D10" i="3"/>
  <c r="D8" i="3"/>
  <c r="D4" i="3"/>
  <c r="R21" i="2"/>
  <c r="P21" i="2"/>
  <c r="N54" i="5" s="1"/>
  <c r="N21" i="2"/>
  <c r="O21" i="2" s="1"/>
  <c r="M21" i="2"/>
  <c r="I21" i="2"/>
  <c r="H21" i="2"/>
  <c r="F17" i="7" s="1"/>
  <c r="F21" i="2"/>
  <c r="E21" i="2"/>
  <c r="D21" i="2"/>
  <c r="F19" i="2"/>
  <c r="E19" i="2"/>
  <c r="D19" i="2"/>
  <c r="S17" i="2"/>
  <c r="T17" i="2" s="1"/>
  <c r="U17" i="2" s="1"/>
  <c r="R17" i="2"/>
  <c r="N17" i="2"/>
  <c r="O17" i="2" s="1"/>
  <c r="P17" i="2" s="1"/>
  <c r="M17" i="2"/>
  <c r="H17" i="2"/>
  <c r="I17" i="2" s="1"/>
  <c r="J17" i="2" s="1"/>
  <c r="K17" i="2" s="1"/>
  <c r="F17" i="2"/>
  <c r="E17" i="2"/>
  <c r="D17" i="2"/>
  <c r="R16" i="2"/>
  <c r="S16" i="2" s="1"/>
  <c r="T16" i="2" s="1"/>
  <c r="U16" i="2" s="1"/>
  <c r="N16" i="2"/>
  <c r="O16" i="2" s="1"/>
  <c r="P16" i="2" s="1"/>
  <c r="M16" i="2"/>
  <c r="H16" i="2"/>
  <c r="I16" i="2" s="1"/>
  <c r="J16" i="2" s="1"/>
  <c r="K16" i="2" s="1"/>
  <c r="F16" i="2"/>
  <c r="E16" i="2"/>
  <c r="D16" i="2"/>
  <c r="U15" i="2"/>
  <c r="T15" i="2"/>
  <c r="S15" i="2"/>
  <c r="R15" i="2"/>
  <c r="Q15" i="2"/>
  <c r="P15" i="2"/>
  <c r="O15" i="2"/>
  <c r="N15" i="2"/>
  <c r="M15" i="2"/>
  <c r="L15" i="2"/>
  <c r="K15" i="2"/>
  <c r="J15" i="2"/>
  <c r="I15" i="2"/>
  <c r="H15" i="2"/>
  <c r="G15" i="2"/>
  <c r="F15" i="2"/>
  <c r="E15" i="2"/>
  <c r="D15" i="2"/>
  <c r="R14" i="2"/>
  <c r="S14" i="2" s="1"/>
  <c r="T14" i="2" s="1"/>
  <c r="U14" i="2" s="1"/>
  <c r="M14" i="2"/>
  <c r="N14" i="2" s="1"/>
  <c r="O14" i="2" s="1"/>
  <c r="P14" i="2" s="1"/>
  <c r="K14" i="2"/>
  <c r="J14" i="2"/>
  <c r="I14" i="2"/>
  <c r="H14" i="2"/>
  <c r="F14" i="2"/>
  <c r="E14" i="2"/>
  <c r="D14" i="2"/>
  <c r="U12" i="2"/>
  <c r="T12" i="2"/>
  <c r="S12" i="2"/>
  <c r="R12" i="2"/>
  <c r="Q12" i="2"/>
  <c r="P12" i="2"/>
  <c r="O12" i="2"/>
  <c r="N12" i="2"/>
  <c r="M12" i="2"/>
  <c r="L12" i="2"/>
  <c r="K12" i="2"/>
  <c r="J12" i="2"/>
  <c r="I12" i="2"/>
  <c r="H12" i="2"/>
  <c r="G12" i="2"/>
  <c r="F12" i="2"/>
  <c r="E12" i="2"/>
  <c r="D12" i="2"/>
  <c r="U11" i="2"/>
  <c r="T11" i="2"/>
  <c r="S11" i="2"/>
  <c r="R11" i="2"/>
  <c r="Q11" i="2"/>
  <c r="P11" i="2"/>
  <c r="O11" i="2"/>
  <c r="N11" i="2"/>
  <c r="M11" i="2"/>
  <c r="L11" i="2"/>
  <c r="K11" i="2"/>
  <c r="J11" i="2"/>
  <c r="I11" i="2"/>
  <c r="H11" i="2"/>
  <c r="G11" i="2"/>
  <c r="F11" i="2"/>
  <c r="E11" i="2"/>
  <c r="D11" i="2"/>
  <c r="U10" i="2"/>
  <c r="T10" i="2"/>
  <c r="S10" i="2"/>
  <c r="R10" i="2"/>
  <c r="Q10" i="2"/>
  <c r="P10" i="2"/>
  <c r="O10" i="2"/>
  <c r="N10" i="2"/>
  <c r="M10" i="2"/>
  <c r="L10" i="2"/>
  <c r="K10" i="2"/>
  <c r="J10" i="2"/>
  <c r="I10" i="2"/>
  <c r="H10" i="2"/>
  <c r="G10" i="2"/>
  <c r="F10" i="2"/>
  <c r="E10" i="2"/>
  <c r="D10" i="2"/>
  <c r="F7" i="2"/>
  <c r="E7" i="2"/>
  <c r="D7" i="2"/>
  <c r="Q6" i="2"/>
  <c r="R6" i="2" s="1"/>
  <c r="S6" i="2" s="1"/>
  <c r="T6" i="2" s="1"/>
  <c r="U6" i="2" s="1"/>
  <c r="O6" i="2"/>
  <c r="P6" i="2" s="1"/>
  <c r="M6" i="2"/>
  <c r="N6" i="2" s="1"/>
  <c r="L6" i="2"/>
  <c r="G6" i="2"/>
  <c r="H6" i="2" s="1"/>
  <c r="I6" i="2" s="1"/>
  <c r="J6" i="2" s="1"/>
  <c r="K6" i="2" s="1"/>
  <c r="F6" i="2"/>
  <c r="E6" i="2"/>
  <c r="D6" i="2"/>
  <c r="S5" i="2"/>
  <c r="T5" i="2" s="1"/>
  <c r="U5" i="2" s="1"/>
  <c r="R5" i="2"/>
  <c r="N5" i="2"/>
  <c r="O5" i="2" s="1"/>
  <c r="P5" i="2" s="1"/>
  <c r="M5" i="2"/>
  <c r="K5" i="2"/>
  <c r="I5" i="2"/>
  <c r="J5" i="2" s="1"/>
  <c r="H5" i="2"/>
  <c r="F5" i="2"/>
  <c r="E5" i="2"/>
  <c r="D5" i="2"/>
  <c r="F4" i="3"/>
  <c r="F17" i="11" l="1"/>
  <c r="E17" i="14"/>
  <c r="E50" i="5"/>
  <c r="F50" i="5" s="1"/>
  <c r="G17" i="11"/>
  <c r="F17" i="14"/>
  <c r="J50" i="5"/>
  <c r="E17" i="11"/>
  <c r="B16" i="5"/>
  <c r="C16" i="5"/>
  <c r="G50" i="5"/>
  <c r="L50" i="5"/>
  <c r="Q50" i="5"/>
  <c r="S15" i="5"/>
  <c r="S23" i="5" s="1"/>
  <c r="E33" i="5"/>
  <c r="Q33" i="5" s="1"/>
  <c r="K50" i="5"/>
  <c r="D39" i="5"/>
  <c r="P50" i="5"/>
  <c r="X5" i="17"/>
  <c r="L27" i="17"/>
  <c r="L26" i="17" s="1"/>
  <c r="X6" i="17"/>
  <c r="N25" i="17"/>
  <c r="M25" i="17" s="1"/>
  <c r="L34" i="17"/>
  <c r="L33" i="17" s="1"/>
  <c r="N32" i="17"/>
  <c r="M32" i="17" s="1"/>
  <c r="D20" i="3"/>
  <c r="L20" i="17"/>
  <c r="L19" i="17" s="1"/>
  <c r="D19" i="3"/>
  <c r="X2" i="17"/>
  <c r="E11" i="17" s="1"/>
  <c r="S12" i="17" s="1"/>
  <c r="S14" i="17" s="1"/>
  <c r="N18" i="17"/>
  <c r="M18" i="17" s="1"/>
  <c r="C39" i="5"/>
  <c r="J36" i="6"/>
  <c r="B39" i="5"/>
  <c r="E39" i="5" s="1"/>
  <c r="O39" i="5" s="1"/>
  <c r="O38" i="5" s="1"/>
  <c r="B46" i="5"/>
  <c r="C46" i="5"/>
  <c r="D46" i="5"/>
  <c r="B30" i="7"/>
  <c r="D30" i="7"/>
  <c r="C30" i="7"/>
  <c r="K36" i="6"/>
  <c r="P36" i="6"/>
  <c r="F36" i="6"/>
  <c r="Q36" i="6" s="1"/>
  <c r="L36" i="6"/>
  <c r="G36" i="6"/>
  <c r="E21" i="7"/>
  <c r="J21" i="7"/>
  <c r="F21" i="7"/>
  <c r="M21" i="7"/>
  <c r="K21" i="7"/>
  <c r="L21" i="7"/>
  <c r="N21" i="7"/>
  <c r="O21" i="7"/>
  <c r="D6" i="3"/>
  <c r="E38" i="5"/>
  <c r="G39" i="5"/>
  <c r="G38" i="5" s="1"/>
  <c r="G33" i="5"/>
  <c r="F33" i="5"/>
  <c r="D28" i="5"/>
  <c r="O6" i="5"/>
  <c r="P6" i="5" s="1"/>
  <c r="F6" i="5"/>
  <c r="F12" i="5" s="1"/>
  <c r="E12" i="5"/>
  <c r="K15" i="5"/>
  <c r="K23" i="5" s="1"/>
  <c r="O5" i="5"/>
  <c r="P5" i="5" s="1"/>
  <c r="J15" i="5"/>
  <c r="J23" i="5" s="1"/>
  <c r="J5" i="5"/>
  <c r="K5" i="5" s="1"/>
  <c r="O7" i="5"/>
  <c r="J7" i="5"/>
  <c r="E7" i="5"/>
  <c r="E13" i="5" s="1"/>
  <c r="C32" i="6"/>
  <c r="F43" i="12"/>
  <c r="C42" i="6" s="1"/>
  <c r="I24" i="4"/>
  <c r="J24" i="4"/>
  <c r="O15" i="5"/>
  <c r="O23" i="5" s="1"/>
  <c r="N15" i="5"/>
  <c r="N23" i="5" s="1"/>
  <c r="M15" i="5"/>
  <c r="M23" i="5" s="1"/>
  <c r="L15" i="5"/>
  <c r="L23" i="5" s="1"/>
  <c r="I15" i="5"/>
  <c r="I23" i="5" s="1"/>
  <c r="H15" i="5"/>
  <c r="H23" i="5" s="1"/>
  <c r="F15" i="5"/>
  <c r="F23" i="5" s="1"/>
  <c r="G15" i="5"/>
  <c r="G23" i="5" s="1"/>
  <c r="R15" i="5"/>
  <c r="R23" i="5" s="1"/>
  <c r="Q15" i="5"/>
  <c r="Q23" i="5" s="1"/>
  <c r="P15" i="5"/>
  <c r="P23" i="5" s="1"/>
  <c r="G54" i="5"/>
  <c r="G17" i="7"/>
  <c r="G21" i="7" s="1"/>
  <c r="J21" i="2"/>
  <c r="L24" i="4"/>
  <c r="E15" i="5"/>
  <c r="E23" i="5" s="1"/>
  <c r="M24" i="4"/>
  <c r="O13" i="6"/>
  <c r="J13" i="6"/>
  <c r="E40" i="13"/>
  <c r="E13" i="6"/>
  <c r="C14" i="7"/>
  <c r="C34" i="7" s="1"/>
  <c r="F40" i="13"/>
  <c r="F42" i="13" s="1"/>
  <c r="C36" i="7" s="1"/>
  <c r="P17" i="7"/>
  <c r="P21" i="7" s="1"/>
  <c r="P54" i="5"/>
  <c r="I21" i="4"/>
  <c r="J21" i="4"/>
  <c r="K21" i="4"/>
  <c r="S21" i="2"/>
  <c r="D3" i="3"/>
  <c r="L21" i="4"/>
  <c r="M21" i="4"/>
  <c r="M18" i="4"/>
  <c r="G40" i="13"/>
  <c r="G42" i="13" s="1"/>
  <c r="D36" i="7" s="1"/>
  <c r="D34" i="7"/>
  <c r="J6" i="5"/>
  <c r="D18" i="6"/>
  <c r="D44" i="6"/>
  <c r="F19" i="12"/>
  <c r="E19" i="12"/>
  <c r="F5" i="5"/>
  <c r="E33" i="12"/>
  <c r="B26" i="5" l="1"/>
  <c r="E30" i="11"/>
  <c r="C28" i="5"/>
  <c r="D26" i="5"/>
  <c r="G30" i="11"/>
  <c r="K39" i="5"/>
  <c r="K38" i="5" s="1"/>
  <c r="B28" i="5"/>
  <c r="C26" i="5"/>
  <c r="F30" i="11"/>
  <c r="S39" i="5"/>
  <c r="S38" i="5" s="1"/>
  <c r="E30" i="7"/>
  <c r="J30" i="7" s="1"/>
  <c r="N33" i="5"/>
  <c r="S33" i="5"/>
  <c r="K33" i="5"/>
  <c r="R33" i="5"/>
  <c r="P33" i="5"/>
  <c r="M33" i="5"/>
  <c r="L33" i="5"/>
  <c r="O33" i="5"/>
  <c r="I33" i="5"/>
  <c r="H33" i="5"/>
  <c r="J33" i="5"/>
  <c r="L39" i="5"/>
  <c r="L38" i="5" s="1"/>
  <c r="H50" i="5"/>
  <c r="M50" i="5"/>
  <c r="R50" i="5"/>
  <c r="P12" i="17"/>
  <c r="P14" i="17" s="1"/>
  <c r="Q12" i="17"/>
  <c r="Q14" i="17" s="1"/>
  <c r="O12" i="17"/>
  <c r="O14" i="17" s="1"/>
  <c r="F12" i="17"/>
  <c r="F14" i="17" s="1"/>
  <c r="R12" i="17"/>
  <c r="R14" i="17" s="1"/>
  <c r="L12" i="17"/>
  <c r="L14" i="17" s="1"/>
  <c r="E12" i="17"/>
  <c r="E14" i="17" s="1"/>
  <c r="J12" i="17"/>
  <c r="J14" i="17" s="1"/>
  <c r="M12" i="17"/>
  <c r="M14" i="17" s="1"/>
  <c r="K12" i="17"/>
  <c r="K14" i="17" s="1"/>
  <c r="N12" i="17"/>
  <c r="N14" i="17" s="1"/>
  <c r="I12" i="17"/>
  <c r="I14" i="17" s="1"/>
  <c r="H12" i="17"/>
  <c r="H14" i="17" s="1"/>
  <c r="G12" i="17"/>
  <c r="G14" i="17" s="1"/>
  <c r="D16" i="3"/>
  <c r="E42" i="13"/>
  <c r="B36" i="7" s="1"/>
  <c r="D16" i="14"/>
  <c r="F39" i="5"/>
  <c r="F38" i="5" s="1"/>
  <c r="J39" i="5"/>
  <c r="J38" i="5" s="1"/>
  <c r="I39" i="5"/>
  <c r="I38" i="5" s="1"/>
  <c r="H39" i="5"/>
  <c r="H38" i="5" s="1"/>
  <c r="M39" i="5"/>
  <c r="M38" i="5" s="1"/>
  <c r="P39" i="5"/>
  <c r="P38" i="5" s="1"/>
  <c r="R39" i="5"/>
  <c r="R38" i="5" s="1"/>
  <c r="N39" i="5"/>
  <c r="N38" i="5" s="1"/>
  <c r="Q39" i="5"/>
  <c r="Q38" i="5" s="1"/>
  <c r="E28" i="5"/>
  <c r="I28" i="5" s="1"/>
  <c r="R36" i="6"/>
  <c r="H36" i="6"/>
  <c r="M36" i="6"/>
  <c r="G6" i="5"/>
  <c r="G12" i="5" s="1"/>
  <c r="O8" i="5"/>
  <c r="O32" i="5" s="1"/>
  <c r="E14" i="5"/>
  <c r="J11" i="5"/>
  <c r="O11" i="5"/>
  <c r="B18" i="6"/>
  <c r="H17" i="7"/>
  <c r="H21" i="7" s="1"/>
  <c r="K21" i="2"/>
  <c r="H54" i="5"/>
  <c r="L5" i="5"/>
  <c r="K11" i="5"/>
  <c r="E43" i="12"/>
  <c r="B42" i="6" s="1"/>
  <c r="B32" i="6"/>
  <c r="F13" i="6"/>
  <c r="P7" i="5"/>
  <c r="O13" i="5"/>
  <c r="Q54" i="5"/>
  <c r="Q17" i="7"/>
  <c r="Q21" i="7" s="1"/>
  <c r="T21" i="2"/>
  <c r="F11" i="5"/>
  <c r="K6" i="5"/>
  <c r="J12" i="5"/>
  <c r="K13" i="6"/>
  <c r="P13" i="6"/>
  <c r="C44" i="6"/>
  <c r="C18" i="6"/>
  <c r="Q5" i="5"/>
  <c r="P11" i="5"/>
  <c r="F7" i="5"/>
  <c r="J13" i="5"/>
  <c r="K7" i="5"/>
  <c r="E8" i="5"/>
  <c r="O12" i="5"/>
  <c r="J8" i="5"/>
  <c r="M30" i="7" l="1"/>
  <c r="F28" i="5"/>
  <c r="I30" i="7"/>
  <c r="S30" i="7"/>
  <c r="R30" i="7"/>
  <c r="L28" i="5"/>
  <c r="Q28" i="5"/>
  <c r="M28" i="5"/>
  <c r="O30" i="7"/>
  <c r="S28" i="5"/>
  <c r="N28" i="5"/>
  <c r="F30" i="7"/>
  <c r="E40" i="11"/>
  <c r="B52" i="5"/>
  <c r="B36" i="5"/>
  <c r="B53" i="5"/>
  <c r="J28" i="5"/>
  <c r="C53" i="5"/>
  <c r="F40" i="11"/>
  <c r="C36" i="5"/>
  <c r="C52" i="5"/>
  <c r="G30" i="7"/>
  <c r="Q30" i="7"/>
  <c r="P30" i="7"/>
  <c r="D52" i="5"/>
  <c r="D53" i="5"/>
  <c r="G40" i="11"/>
  <c r="D36" i="5"/>
  <c r="K28" i="5"/>
  <c r="N30" i="7"/>
  <c r="G28" i="5"/>
  <c r="K30" i="7"/>
  <c r="L30" i="7"/>
  <c r="H30" i="7"/>
  <c r="P28" i="5"/>
  <c r="O28" i="5"/>
  <c r="H28" i="5"/>
  <c r="R28" i="5"/>
  <c r="I50" i="5"/>
  <c r="N50" i="5"/>
  <c r="S50" i="5"/>
  <c r="B44" i="6"/>
  <c r="O31" i="5"/>
  <c r="O21" i="5"/>
  <c r="O20" i="5"/>
  <c r="O19" i="5"/>
  <c r="E16" i="5"/>
  <c r="E27" i="5" s="1"/>
  <c r="E45" i="5"/>
  <c r="H6" i="5"/>
  <c r="H12" i="5" s="1"/>
  <c r="S36" i="6"/>
  <c r="N36" i="6"/>
  <c r="I36" i="6"/>
  <c r="J14" i="5"/>
  <c r="J16" i="5" s="1"/>
  <c r="O14" i="5"/>
  <c r="O45" i="5" s="1"/>
  <c r="O22" i="5"/>
  <c r="O21" i="6" s="1"/>
  <c r="O16" i="5"/>
  <c r="O24" i="6"/>
  <c r="O12" i="7" s="1"/>
  <c r="O6" i="6"/>
  <c r="L6" i="5"/>
  <c r="K12" i="5"/>
  <c r="G11" i="5"/>
  <c r="H5" i="5"/>
  <c r="F13" i="5"/>
  <c r="G7" i="5"/>
  <c r="G8" i="5" s="1"/>
  <c r="F8" i="5"/>
  <c r="F31" i="5" s="1"/>
  <c r="F14" i="5"/>
  <c r="F45" i="5" s="1"/>
  <c r="I17" i="7"/>
  <c r="I21" i="7" s="1"/>
  <c r="I54" i="5"/>
  <c r="Q6" i="5"/>
  <c r="P12" i="5"/>
  <c r="K13" i="5"/>
  <c r="L7" i="5"/>
  <c r="P8" i="5"/>
  <c r="E6" i="6"/>
  <c r="E10" i="7" s="1"/>
  <c r="E24" i="6"/>
  <c r="E12" i="7" s="1"/>
  <c r="Q13" i="6"/>
  <c r="R54" i="5"/>
  <c r="U21" i="2"/>
  <c r="R17" i="7"/>
  <c r="R21" i="7" s="1"/>
  <c r="R5" i="5"/>
  <c r="Q11" i="5"/>
  <c r="Q7" i="5"/>
  <c r="P13" i="5"/>
  <c r="G13" i="6"/>
  <c r="M5" i="5"/>
  <c r="L11" i="5"/>
  <c r="E20" i="5"/>
  <c r="E21" i="5"/>
  <c r="E32" i="5"/>
  <c r="E31" i="5"/>
  <c r="E34" i="5" s="1"/>
  <c r="E19" i="5"/>
  <c r="L13" i="6"/>
  <c r="J32" i="5"/>
  <c r="J19" i="5"/>
  <c r="J20" i="5"/>
  <c r="J21" i="5"/>
  <c r="J31" i="5"/>
  <c r="K8" i="5"/>
  <c r="O6" i="7"/>
  <c r="O7" i="17" s="1"/>
  <c r="O34" i="5"/>
  <c r="O15" i="6"/>
  <c r="E44" i="11" l="1"/>
  <c r="B42" i="5"/>
  <c r="D23" i="2"/>
  <c r="E23" i="2"/>
  <c r="C42" i="5"/>
  <c r="F44" i="11"/>
  <c r="F23" i="2"/>
  <c r="G44" i="11"/>
  <c r="D42" i="5"/>
  <c r="F29" i="7"/>
  <c r="O29" i="7"/>
  <c r="O40" i="6"/>
  <c r="E29" i="7"/>
  <c r="E40" i="6"/>
  <c r="O24" i="5"/>
  <c r="O26" i="5" s="1"/>
  <c r="L8" i="5"/>
  <c r="J24" i="6"/>
  <c r="J12" i="7" s="1"/>
  <c r="K14" i="5"/>
  <c r="K45" i="5" s="1"/>
  <c r="K29" i="7" s="1"/>
  <c r="I6" i="5"/>
  <c r="I12" i="5" s="1"/>
  <c r="J45" i="5"/>
  <c r="J6" i="6"/>
  <c r="J10" i="7" s="1"/>
  <c r="E22" i="5"/>
  <c r="E24" i="5" s="1"/>
  <c r="E26" i="5" s="1"/>
  <c r="E36" i="5" s="1"/>
  <c r="E5" i="17" s="1"/>
  <c r="P14" i="5"/>
  <c r="G31" i="5"/>
  <c r="G20" i="5"/>
  <c r="G32" i="5"/>
  <c r="G21" i="5"/>
  <c r="G19" i="5"/>
  <c r="G22" i="5" s="1"/>
  <c r="K6" i="6"/>
  <c r="R6" i="5"/>
  <c r="Q12" i="5"/>
  <c r="Q14" i="5" s="1"/>
  <c r="Q45" i="5" s="1"/>
  <c r="Q29" i="7" s="1"/>
  <c r="J22" i="5"/>
  <c r="F20" i="5"/>
  <c r="F32" i="5"/>
  <c r="F21" i="5"/>
  <c r="F19" i="5"/>
  <c r="O11" i="7"/>
  <c r="O26" i="6"/>
  <c r="O32" i="6" s="1"/>
  <c r="F6" i="6"/>
  <c r="F24" i="6"/>
  <c r="F12" i="7" s="1"/>
  <c r="F16" i="5"/>
  <c r="F27" i="5" s="1"/>
  <c r="I5" i="5"/>
  <c r="H11" i="5"/>
  <c r="Q13" i="5"/>
  <c r="R7" i="5"/>
  <c r="M13" i="6"/>
  <c r="O16" i="6"/>
  <c r="Q8" i="5"/>
  <c r="R13" i="6"/>
  <c r="G13" i="5"/>
  <c r="G14" i="5" s="1"/>
  <c r="G45" i="5" s="1"/>
  <c r="G29" i="7" s="1"/>
  <c r="H7" i="5"/>
  <c r="H8" i="5" s="1"/>
  <c r="P32" i="5"/>
  <c r="P19" i="5"/>
  <c r="P21" i="5"/>
  <c r="P31" i="5"/>
  <c r="P15" i="6" s="1"/>
  <c r="P20" i="5"/>
  <c r="E6" i="7"/>
  <c r="E7" i="17" s="1"/>
  <c r="E15" i="6"/>
  <c r="L13" i="5"/>
  <c r="M7" i="5"/>
  <c r="M6" i="5"/>
  <c r="L12" i="5"/>
  <c r="S5" i="5"/>
  <c r="R11" i="5"/>
  <c r="S54" i="5"/>
  <c r="S17" i="7"/>
  <c r="S21" i="7" s="1"/>
  <c r="M11" i="5"/>
  <c r="N5" i="5"/>
  <c r="O10" i="7"/>
  <c r="H13" i="6"/>
  <c r="K32" i="5"/>
  <c r="K19" i="5"/>
  <c r="K21" i="5"/>
  <c r="K20" i="5"/>
  <c r="K31" i="5"/>
  <c r="J34" i="5"/>
  <c r="J15" i="6"/>
  <c r="J6" i="7"/>
  <c r="J7" i="17" s="1"/>
  <c r="B55" i="5" l="1"/>
  <c r="D55" i="5"/>
  <c r="C55" i="5"/>
  <c r="E18" i="14"/>
  <c r="C44" i="5"/>
  <c r="F46" i="11"/>
  <c r="D18" i="14"/>
  <c r="E46" i="11"/>
  <c r="B44" i="5"/>
  <c r="F18" i="14"/>
  <c r="G46" i="11"/>
  <c r="D44" i="5"/>
  <c r="F40" i="6"/>
  <c r="G40" i="6"/>
  <c r="J29" i="7"/>
  <c r="J40" i="6"/>
  <c r="K40" i="6" s="1"/>
  <c r="O8" i="17"/>
  <c r="K24" i="6"/>
  <c r="K12" i="7" s="1"/>
  <c r="K16" i="5"/>
  <c r="P16" i="5"/>
  <c r="P45" i="5"/>
  <c r="P29" i="7" s="1"/>
  <c r="E42" i="5"/>
  <c r="E43" i="5" s="1"/>
  <c r="E44" i="5" s="1"/>
  <c r="E52" i="5"/>
  <c r="E53" i="5" s="1"/>
  <c r="E55" i="5"/>
  <c r="E6" i="17" s="1"/>
  <c r="L14" i="5"/>
  <c r="L45" i="5" s="1"/>
  <c r="L29" i="7" s="1"/>
  <c r="F34" i="5"/>
  <c r="E21" i="6"/>
  <c r="P6" i="6"/>
  <c r="P10" i="7" s="1"/>
  <c r="P24" i="6"/>
  <c r="P12" i="7" s="1"/>
  <c r="L6" i="6"/>
  <c r="L24" i="6"/>
  <c r="L12" i="7" s="1"/>
  <c r="Q16" i="5"/>
  <c r="Q24" i="6"/>
  <c r="Q6" i="6"/>
  <c r="S7" i="5"/>
  <c r="S13" i="5" s="1"/>
  <c r="R13" i="5"/>
  <c r="N13" i="6"/>
  <c r="P22" i="5"/>
  <c r="K6" i="7"/>
  <c r="K7" i="17" s="1"/>
  <c r="K34" i="5"/>
  <c r="K22" i="5"/>
  <c r="H31" i="5"/>
  <c r="H32" i="5"/>
  <c r="H20" i="5"/>
  <c r="H19" i="5"/>
  <c r="H21" i="5"/>
  <c r="S6" i="5"/>
  <c r="S12" i="5" s="1"/>
  <c r="R12" i="5"/>
  <c r="R8" i="5"/>
  <c r="J24" i="5"/>
  <c r="J21" i="6"/>
  <c r="I11" i="5"/>
  <c r="I13" i="6"/>
  <c r="P16" i="6"/>
  <c r="F6" i="7"/>
  <c r="F7" i="17" s="1"/>
  <c r="K15" i="6"/>
  <c r="J16" i="6"/>
  <c r="G6" i="6"/>
  <c r="G24" i="6"/>
  <c r="G12" i="7" s="1"/>
  <c r="G16" i="5"/>
  <c r="G27" i="5" s="1"/>
  <c r="P34" i="5"/>
  <c r="P6" i="7"/>
  <c r="P7" i="17" s="1"/>
  <c r="L31" i="5"/>
  <c r="L19" i="5"/>
  <c r="L20" i="5"/>
  <c r="L32" i="5"/>
  <c r="L21" i="5"/>
  <c r="S11" i="5"/>
  <c r="K10" i="7"/>
  <c r="G24" i="5"/>
  <c r="G21" i="6"/>
  <c r="N6" i="5"/>
  <c r="N12" i="5" s="1"/>
  <c r="M12" i="5"/>
  <c r="H13" i="5"/>
  <c r="H14" i="5" s="1"/>
  <c r="H45" i="5" s="1"/>
  <c r="H29" i="7" s="1"/>
  <c r="I7" i="5"/>
  <c r="I13" i="5" s="1"/>
  <c r="M13" i="5"/>
  <c r="N7" i="5"/>
  <c r="N13" i="5" s="1"/>
  <c r="F10" i="7"/>
  <c r="G6" i="7"/>
  <c r="G7" i="17" s="1"/>
  <c r="G34" i="5"/>
  <c r="N11" i="5"/>
  <c r="S13" i="6"/>
  <c r="M8" i="5"/>
  <c r="F15" i="6"/>
  <c r="E16" i="6"/>
  <c r="Q32" i="5"/>
  <c r="Q19" i="5"/>
  <c r="Q21" i="5"/>
  <c r="Q31" i="5"/>
  <c r="Q20" i="5"/>
  <c r="F22" i="5"/>
  <c r="D28" i="7" l="1"/>
  <c r="B28" i="7"/>
  <c r="D47" i="5"/>
  <c r="G58" i="11"/>
  <c r="E58" i="11"/>
  <c r="B47" i="5"/>
  <c r="C47" i="5"/>
  <c r="F58" i="11"/>
  <c r="C28" i="7"/>
  <c r="P40" i="6"/>
  <c r="Q40" i="6" s="1"/>
  <c r="H40" i="6"/>
  <c r="L40" i="6"/>
  <c r="L16" i="5"/>
  <c r="E26" i="6"/>
  <c r="E32" i="6" s="1"/>
  <c r="E11" i="7"/>
  <c r="E8" i="17" s="1"/>
  <c r="E47" i="5"/>
  <c r="M14" i="5"/>
  <c r="Q12" i="7"/>
  <c r="R14" i="5"/>
  <c r="I14" i="5"/>
  <c r="I8" i="5"/>
  <c r="I32" i="5" s="1"/>
  <c r="J26" i="5"/>
  <c r="G26" i="5"/>
  <c r="G36" i="5" s="1"/>
  <c r="G5" i="17" s="1"/>
  <c r="K21" i="6"/>
  <c r="K24" i="5"/>
  <c r="K26" i="5" s="1"/>
  <c r="Q22" i="5"/>
  <c r="P24" i="5"/>
  <c r="P26" i="5" s="1"/>
  <c r="P21" i="6"/>
  <c r="L22" i="5"/>
  <c r="L6" i="7"/>
  <c r="L7" i="17" s="1"/>
  <c r="L34" i="5"/>
  <c r="J26" i="6"/>
  <c r="J32" i="6" s="1"/>
  <c r="J11" i="7"/>
  <c r="J8" i="17" s="1"/>
  <c r="Q34" i="5"/>
  <c r="Q6" i="7"/>
  <c r="Q7" i="17" s="1"/>
  <c r="H6" i="6"/>
  <c r="H24" i="6"/>
  <c r="H12" i="7" s="1"/>
  <c r="H16" i="5"/>
  <c r="H27" i="5" s="1"/>
  <c r="G10" i="7"/>
  <c r="G26" i="6"/>
  <c r="G32" i="6" s="1"/>
  <c r="L15" i="6"/>
  <c r="K16" i="6"/>
  <c r="N8" i="5"/>
  <c r="H6" i="7"/>
  <c r="H7" i="17" s="1"/>
  <c r="H34" i="5"/>
  <c r="G15" i="6"/>
  <c r="F16" i="6"/>
  <c r="M31" i="5"/>
  <c r="M32" i="5"/>
  <c r="M19" i="5"/>
  <c r="M20" i="5"/>
  <c r="M21" i="5"/>
  <c r="R19" i="5"/>
  <c r="R20" i="5"/>
  <c r="R32" i="5"/>
  <c r="R21" i="5"/>
  <c r="R31" i="5"/>
  <c r="Q10" i="7"/>
  <c r="N14" i="5"/>
  <c r="N45" i="5" s="1"/>
  <c r="N29" i="7" s="1"/>
  <c r="H22" i="5"/>
  <c r="S14" i="5"/>
  <c r="S45" i="5" s="1"/>
  <c r="S29" i="7" s="1"/>
  <c r="Q15" i="6"/>
  <c r="F24" i="5"/>
  <c r="F26" i="5" s="1"/>
  <c r="F36" i="5" s="1"/>
  <c r="F21" i="6"/>
  <c r="S8" i="5"/>
  <c r="L10" i="7"/>
  <c r="E28" i="7" l="1"/>
  <c r="E10" i="17"/>
  <c r="E16" i="17" s="1"/>
  <c r="F5" i="17"/>
  <c r="F55" i="5"/>
  <c r="F6" i="17" s="1"/>
  <c r="E51" i="5"/>
  <c r="I45" i="5"/>
  <c r="I29" i="7" s="1"/>
  <c r="I6" i="6"/>
  <c r="I10" i="7" s="1"/>
  <c r="R16" i="5"/>
  <c r="R45" i="5"/>
  <c r="R29" i="7" s="1"/>
  <c r="M6" i="6"/>
  <c r="M10" i="7" s="1"/>
  <c r="M45" i="5"/>
  <c r="M29" i="7" s="1"/>
  <c r="I24" i="6"/>
  <c r="J27" i="5"/>
  <c r="J36" i="5" s="1"/>
  <c r="I16" i="5"/>
  <c r="I27" i="5" s="1"/>
  <c r="M24" i="6"/>
  <c r="M12" i="7" s="1"/>
  <c r="R24" i="6"/>
  <c r="R12" i="7" s="1"/>
  <c r="I20" i="5"/>
  <c r="I31" i="5"/>
  <c r="I6" i="7" s="1"/>
  <c r="I7" i="17" s="1"/>
  <c r="M16" i="5"/>
  <c r="R6" i="6"/>
  <c r="R10" i="7" s="1"/>
  <c r="I21" i="5"/>
  <c r="I19" i="5"/>
  <c r="H24" i="5"/>
  <c r="H26" i="5" s="1"/>
  <c r="H36" i="5" s="1"/>
  <c r="H5" i="17" s="1"/>
  <c r="H21" i="6"/>
  <c r="P11" i="7"/>
  <c r="P8" i="17" s="1"/>
  <c r="P26" i="6"/>
  <c r="P32" i="6" s="1"/>
  <c r="Q24" i="5"/>
  <c r="Q26" i="5" s="1"/>
  <c r="Q21" i="6"/>
  <c r="N31" i="5"/>
  <c r="N32" i="5"/>
  <c r="N21" i="5"/>
  <c r="N20" i="5"/>
  <c r="N19" i="5"/>
  <c r="I12" i="7"/>
  <c r="G55" i="5"/>
  <c r="G6" i="17" s="1"/>
  <c r="G42" i="5"/>
  <c r="G52" i="5"/>
  <c r="G53" i="5" s="1"/>
  <c r="R22" i="5"/>
  <c r="H15" i="6"/>
  <c r="G16" i="6"/>
  <c r="L21" i="6"/>
  <c r="L24" i="5"/>
  <c r="L26" i="5" s="1"/>
  <c r="K26" i="6"/>
  <c r="K32" i="6" s="1"/>
  <c r="K11" i="7"/>
  <c r="K8" i="17" s="1"/>
  <c r="N16" i="5"/>
  <c r="N24" i="6"/>
  <c r="N6" i="6"/>
  <c r="R34" i="5"/>
  <c r="R6" i="7"/>
  <c r="R7" i="17" s="1"/>
  <c r="M22" i="5"/>
  <c r="S19" i="5"/>
  <c r="S20" i="5"/>
  <c r="S32" i="5"/>
  <c r="S21" i="5"/>
  <c r="S31" i="5"/>
  <c r="M15" i="6"/>
  <c r="L16" i="6"/>
  <c r="H10" i="7"/>
  <c r="F11" i="7"/>
  <c r="F8" i="17" s="1"/>
  <c r="F26" i="6"/>
  <c r="F32" i="6" s="1"/>
  <c r="M6" i="7"/>
  <c r="M7" i="17" s="1"/>
  <c r="M34" i="5"/>
  <c r="F42" i="5"/>
  <c r="F52" i="5"/>
  <c r="F53" i="5" s="1"/>
  <c r="E5" i="7"/>
  <c r="E14" i="7" s="1"/>
  <c r="R15" i="6"/>
  <c r="Q16" i="6"/>
  <c r="S24" i="6"/>
  <c r="S16" i="5"/>
  <c r="S6" i="6"/>
  <c r="G11" i="7"/>
  <c r="G8" i="17" s="1"/>
  <c r="I28" i="7" l="1"/>
  <c r="L28" i="7"/>
  <c r="R28" i="7"/>
  <c r="Q28" i="7"/>
  <c r="H28" i="7"/>
  <c r="F28" i="7"/>
  <c r="J28" i="7"/>
  <c r="S28" i="7"/>
  <c r="N28" i="7"/>
  <c r="G28" i="7"/>
  <c r="M28" i="7"/>
  <c r="P28" i="7"/>
  <c r="O28" i="7"/>
  <c r="K28" i="7"/>
  <c r="E27" i="7"/>
  <c r="F10" i="17"/>
  <c r="F16" i="17" s="1"/>
  <c r="G10" i="17"/>
  <c r="G16" i="17" s="1"/>
  <c r="J55" i="5"/>
  <c r="J6" i="17" s="1"/>
  <c r="J10" i="17" s="1"/>
  <c r="J16" i="17" s="1"/>
  <c r="J5" i="17"/>
  <c r="R40" i="6"/>
  <c r="S40" i="6" s="1"/>
  <c r="I40" i="6"/>
  <c r="M40" i="6"/>
  <c r="N40" i="6" s="1"/>
  <c r="I22" i="5"/>
  <c r="I21" i="6" s="1"/>
  <c r="N22" i="5"/>
  <c r="N21" i="6" s="1"/>
  <c r="J42" i="5"/>
  <c r="J43" i="5" s="1"/>
  <c r="J44" i="5" s="1"/>
  <c r="J27" i="7" s="1"/>
  <c r="J31" i="7" s="1"/>
  <c r="J52" i="5"/>
  <c r="J53" i="5" s="1"/>
  <c r="I34" i="5"/>
  <c r="N12" i="7"/>
  <c r="S12" i="7"/>
  <c r="K27" i="5"/>
  <c r="K36" i="5" s="1"/>
  <c r="K5" i="17" s="1"/>
  <c r="N6" i="7"/>
  <c r="N7" i="17" s="1"/>
  <c r="N34" i="5"/>
  <c r="I15" i="6"/>
  <c r="I16" i="6" s="1"/>
  <c r="H16" i="6"/>
  <c r="R24" i="5"/>
  <c r="R26" i="5" s="1"/>
  <c r="R21" i="6"/>
  <c r="S22" i="5"/>
  <c r="H11" i="7"/>
  <c r="H8" i="17" s="1"/>
  <c r="H26" i="6"/>
  <c r="H32" i="6" s="1"/>
  <c r="M21" i="6"/>
  <c r="M24" i="5"/>
  <c r="M26" i="5" s="1"/>
  <c r="Q11" i="7"/>
  <c r="Q8" i="17" s="1"/>
  <c r="Q26" i="6"/>
  <c r="Q32" i="6" s="1"/>
  <c r="N15" i="6"/>
  <c r="N16" i="6" s="1"/>
  <c r="M16" i="6"/>
  <c r="L26" i="6"/>
  <c r="L32" i="6" s="1"/>
  <c r="L11" i="7"/>
  <c r="L8" i="17" s="1"/>
  <c r="I24" i="5"/>
  <c r="I26" i="5" s="1"/>
  <c r="I36" i="5" s="1"/>
  <c r="I5" i="17" s="1"/>
  <c r="S34" i="5"/>
  <c r="S6" i="7"/>
  <c r="S7" i="17" s="1"/>
  <c r="S15" i="6"/>
  <c r="S16" i="6" s="1"/>
  <c r="R16" i="6"/>
  <c r="H55" i="5"/>
  <c r="H6" i="17" s="1"/>
  <c r="H42" i="5"/>
  <c r="H52" i="5"/>
  <c r="H53" i="5" s="1"/>
  <c r="F43" i="5"/>
  <c r="F44" i="5" s="1"/>
  <c r="F27" i="7" s="1"/>
  <c r="F31" i="7" s="1"/>
  <c r="S10" i="7"/>
  <c r="N10" i="7"/>
  <c r="G43" i="5"/>
  <c r="G44" i="5" s="1"/>
  <c r="G27" i="7" s="1"/>
  <c r="G31" i="7" s="1"/>
  <c r="E31" i="7" l="1"/>
  <c r="E34" i="7" s="1"/>
  <c r="E36" i="7" s="1"/>
  <c r="E5" i="6" s="1"/>
  <c r="E10" i="6" s="1"/>
  <c r="E18" i="6" s="1"/>
  <c r="E37" i="6"/>
  <c r="N24" i="5"/>
  <c r="N26" i="5" s="1"/>
  <c r="H10" i="17"/>
  <c r="H16" i="17" s="1"/>
  <c r="J47" i="5"/>
  <c r="J37" i="6" s="1"/>
  <c r="J5" i="7"/>
  <c r="J14" i="7" s="1"/>
  <c r="J34" i="7"/>
  <c r="F35" i="7"/>
  <c r="K42" i="5"/>
  <c r="K43" i="5" s="1"/>
  <c r="K44" i="5" s="1"/>
  <c r="K52" i="5"/>
  <c r="K53" i="5" s="1"/>
  <c r="K55" i="5"/>
  <c r="K6" i="17" s="1"/>
  <c r="K10" i="17" s="1"/>
  <c r="K16" i="17" s="1"/>
  <c r="L27" i="5"/>
  <c r="L36" i="5" s="1"/>
  <c r="L5" i="17" s="1"/>
  <c r="F5" i="7"/>
  <c r="F47" i="5"/>
  <c r="I55" i="5"/>
  <c r="I6" i="17" s="1"/>
  <c r="I42" i="5"/>
  <c r="I52" i="5"/>
  <c r="I11" i="7"/>
  <c r="I8" i="17" s="1"/>
  <c r="I26" i="6"/>
  <c r="I32" i="6" s="1"/>
  <c r="E39" i="6"/>
  <c r="N11" i="7"/>
  <c r="N8" i="17" s="1"/>
  <c r="N26" i="6"/>
  <c r="N32" i="6" s="1"/>
  <c r="G5" i="7"/>
  <c r="G14" i="7" s="1"/>
  <c r="G34" i="7" s="1"/>
  <c r="G47" i="5"/>
  <c r="G51" i="5" s="1"/>
  <c r="M11" i="7"/>
  <c r="M8" i="17" s="1"/>
  <c r="M26" i="6"/>
  <c r="M32" i="6" s="1"/>
  <c r="S24" i="5"/>
  <c r="S26" i="5" s="1"/>
  <c r="S21" i="6"/>
  <c r="R26" i="6"/>
  <c r="R32" i="6" s="1"/>
  <c r="R11" i="7"/>
  <c r="R8" i="17" s="1"/>
  <c r="H43" i="5"/>
  <c r="H44" i="5" s="1"/>
  <c r="H27" i="7" s="1"/>
  <c r="H31" i="7" s="1"/>
  <c r="I10" i="17" l="1"/>
  <c r="AA20" i="17" s="1"/>
  <c r="AA22" i="17" s="1"/>
  <c r="AA27" i="17" s="1"/>
  <c r="AA23" i="17" s="1"/>
  <c r="I53" i="5"/>
  <c r="AA36" i="17"/>
  <c r="AA38" i="17" s="1"/>
  <c r="AA39" i="17" s="1"/>
  <c r="J51" i="5"/>
  <c r="F14" i="7"/>
  <c r="F34" i="7" s="1"/>
  <c r="J36" i="7"/>
  <c r="J5" i="6" s="1"/>
  <c r="J10" i="6" s="1"/>
  <c r="J18" i="6" s="1"/>
  <c r="E41" i="6"/>
  <c r="E42" i="6" s="1"/>
  <c r="E44" i="6" s="1"/>
  <c r="F51" i="5"/>
  <c r="F37" i="6"/>
  <c r="G37" i="6" s="1"/>
  <c r="F36" i="7"/>
  <c r="F5" i="6" s="1"/>
  <c r="F10" i="6" s="1"/>
  <c r="F18" i="6" s="1"/>
  <c r="K5" i="7"/>
  <c r="K14" i="7" s="1"/>
  <c r="K27" i="7"/>
  <c r="K31" i="7" s="1"/>
  <c r="K47" i="5"/>
  <c r="K37" i="6" s="1"/>
  <c r="L42" i="5"/>
  <c r="L43" i="5" s="1"/>
  <c r="L44" i="5" s="1"/>
  <c r="L52" i="5"/>
  <c r="L53" i="5" s="1"/>
  <c r="L55" i="5"/>
  <c r="L6" i="17" s="1"/>
  <c r="L10" i="17" s="1"/>
  <c r="L16" i="17" s="1"/>
  <c r="M27" i="5"/>
  <c r="M36" i="5" s="1"/>
  <c r="M5" i="17" s="1"/>
  <c r="H47" i="5"/>
  <c r="H51" i="5" s="1"/>
  <c r="H5" i="7"/>
  <c r="H14" i="7" s="1"/>
  <c r="H34" i="7" s="1"/>
  <c r="J39" i="6"/>
  <c r="J41" i="6" s="1"/>
  <c r="J42" i="6" s="1"/>
  <c r="S11" i="7"/>
  <c r="S8" i="17" s="1"/>
  <c r="S26" i="6"/>
  <c r="S32" i="6" s="1"/>
  <c r="I43" i="5"/>
  <c r="I44" i="5" s="1"/>
  <c r="I27" i="7" s="1"/>
  <c r="I31" i="7" s="1"/>
  <c r="K35" i="7" l="1"/>
  <c r="I16" i="17"/>
  <c r="AA26" i="17" s="1"/>
  <c r="AA28" i="17" s="1"/>
  <c r="AA31" i="17" s="1"/>
  <c r="AA33" i="17" s="1"/>
  <c r="J44" i="6"/>
  <c r="H37" i="6"/>
  <c r="F39" i="6"/>
  <c r="F41" i="6" s="1"/>
  <c r="F42" i="6" s="1"/>
  <c r="F44" i="6" s="1"/>
  <c r="G35" i="7"/>
  <c r="G36" i="7" s="1"/>
  <c r="G5" i="6" s="1"/>
  <c r="G10" i="6" s="1"/>
  <c r="G18" i="6" s="1"/>
  <c r="K34" i="7"/>
  <c r="L5" i="7"/>
  <c r="L14" i="7" s="1"/>
  <c r="L27" i="7"/>
  <c r="L31" i="7" s="1"/>
  <c r="K51" i="5"/>
  <c r="M52" i="5"/>
  <c r="M53" i="5" s="1"/>
  <c r="M55" i="5"/>
  <c r="M6" i="17" s="1"/>
  <c r="M10" i="17" s="1"/>
  <c r="M16" i="17" s="1"/>
  <c r="M42" i="5"/>
  <c r="M43" i="5" s="1"/>
  <c r="M44" i="5" s="1"/>
  <c r="M27" i="7" s="1"/>
  <c r="M31" i="7" s="1"/>
  <c r="N27" i="5"/>
  <c r="N36" i="5" s="1"/>
  <c r="N5" i="17" s="1"/>
  <c r="L47" i="5"/>
  <c r="L51" i="5" s="1"/>
  <c r="K39" i="6"/>
  <c r="K41" i="6" s="1"/>
  <c r="K42" i="6" s="1"/>
  <c r="I5" i="7"/>
  <c r="I14" i="7" s="1"/>
  <c r="I34" i="7" s="1"/>
  <c r="I47" i="5"/>
  <c r="I51" i="5" s="1"/>
  <c r="K36" i="7" l="1"/>
  <c r="K5" i="6" s="1"/>
  <c r="K10" i="6" s="1"/>
  <c r="K18" i="6" s="1"/>
  <c r="K44" i="6" s="1"/>
  <c r="AA41" i="17"/>
  <c r="AA43" i="17" s="1"/>
  <c r="AA46" i="17" s="1"/>
  <c r="AA48" i="17" s="1"/>
  <c r="AA49" i="17" s="1"/>
  <c r="L37" i="6"/>
  <c r="I37" i="6"/>
  <c r="I39" i="6" s="1"/>
  <c r="I41" i="6" s="1"/>
  <c r="I42" i="6" s="1"/>
  <c r="L34" i="7"/>
  <c r="H35" i="7"/>
  <c r="H36" i="7" s="1"/>
  <c r="H5" i="6" s="1"/>
  <c r="H10" i="6" s="1"/>
  <c r="H18" i="6" s="1"/>
  <c r="G39" i="6"/>
  <c r="G41" i="6" s="1"/>
  <c r="G42" i="6" s="1"/>
  <c r="G44" i="6" s="1"/>
  <c r="N52" i="5"/>
  <c r="N42" i="5"/>
  <c r="N43" i="5" s="1"/>
  <c r="N44" i="5" s="1"/>
  <c r="N55" i="5"/>
  <c r="N6" i="17" s="1"/>
  <c r="N10" i="17" s="1"/>
  <c r="M47" i="5"/>
  <c r="M51" i="5" s="1"/>
  <c r="M5" i="7"/>
  <c r="M14" i="7" s="1"/>
  <c r="M34" i="7" s="1"/>
  <c r="O27" i="5"/>
  <c r="O36" i="5" s="1"/>
  <c r="O5" i="17" s="1"/>
  <c r="H39" i="6"/>
  <c r="H41" i="6" s="1"/>
  <c r="H42" i="6" s="1"/>
  <c r="L35" i="7" l="1"/>
  <c r="L36" i="7" s="1"/>
  <c r="L18" i="17"/>
  <c r="AA42" i="17"/>
  <c r="N16" i="17"/>
  <c r="AB20" i="17"/>
  <c r="AB22" i="17" s="1"/>
  <c r="AB27" i="17" s="1"/>
  <c r="AB23" i="17" s="1"/>
  <c r="N53" i="5"/>
  <c r="AB36" i="17"/>
  <c r="AB38" i="17" s="1"/>
  <c r="AB39" i="17" s="1"/>
  <c r="I35" i="7"/>
  <c r="I36" i="7" s="1"/>
  <c r="I5" i="6" s="1"/>
  <c r="I10" i="6" s="1"/>
  <c r="I18" i="6" s="1"/>
  <c r="I44" i="6" s="1"/>
  <c r="H44" i="6"/>
  <c r="M37" i="6"/>
  <c r="M39" i="6" s="1"/>
  <c r="M41" i="6" s="1"/>
  <c r="M42" i="6" s="1"/>
  <c r="L5" i="6"/>
  <c r="L10" i="6" s="1"/>
  <c r="L18" i="6" s="1"/>
  <c r="M35" i="7"/>
  <c r="M36" i="7" s="1"/>
  <c r="M5" i="6" s="1"/>
  <c r="M10" i="6" s="1"/>
  <c r="M18" i="6" s="1"/>
  <c r="N27" i="7"/>
  <c r="N31" i="7" s="1"/>
  <c r="L39" i="6"/>
  <c r="L41" i="6" s="1"/>
  <c r="L42" i="6" s="1"/>
  <c r="N47" i="5"/>
  <c r="N5" i="7"/>
  <c r="N14" i="7" s="1"/>
  <c r="O52" i="5"/>
  <c r="O53" i="5" s="1"/>
  <c r="O55" i="5"/>
  <c r="O6" i="17" s="1"/>
  <c r="O10" i="17" s="1"/>
  <c r="O16" i="17" s="1"/>
  <c r="O42" i="5"/>
  <c r="O43" i="5" s="1"/>
  <c r="O44" i="5" s="1"/>
  <c r="O27" i="7" s="1"/>
  <c r="O31" i="7" s="1"/>
  <c r="P27" i="5"/>
  <c r="P36" i="5" s="1"/>
  <c r="P5" i="17" s="1"/>
  <c r="AB26" i="17" l="1"/>
  <c r="AB28" i="17" s="1"/>
  <c r="AB31" i="17" s="1"/>
  <c r="AB33" i="17" s="1"/>
  <c r="AB41" i="17"/>
  <c r="AB43" i="17" s="1"/>
  <c r="AB46" i="17" s="1"/>
  <c r="AB48" i="17" s="1"/>
  <c r="AB49" i="17" s="1"/>
  <c r="N35" i="7"/>
  <c r="N34" i="7"/>
  <c r="M44" i="6"/>
  <c r="N37" i="6"/>
  <c r="N39" i="6" s="1"/>
  <c r="N41" i="6" s="1"/>
  <c r="N42" i="6" s="1"/>
  <c r="L44" i="6"/>
  <c r="N51" i="5"/>
  <c r="P52" i="5"/>
  <c r="P53" i="5" s="1"/>
  <c r="P55" i="5"/>
  <c r="P6" i="17" s="1"/>
  <c r="P10" i="17" s="1"/>
  <c r="P16" i="17" s="1"/>
  <c r="P42" i="5"/>
  <c r="P43" i="5" s="1"/>
  <c r="P44" i="5" s="1"/>
  <c r="P27" i="7" s="1"/>
  <c r="P31" i="7" s="1"/>
  <c r="Q27" i="5"/>
  <c r="Q36" i="5" s="1"/>
  <c r="Q5" i="17" s="1"/>
  <c r="O5" i="7"/>
  <c r="O14" i="7" s="1"/>
  <c r="O34" i="7" s="1"/>
  <c r="O36" i="7" s="1"/>
  <c r="O5" i="6" s="1"/>
  <c r="O10" i="6" s="1"/>
  <c r="O18" i="6" s="1"/>
  <c r="O47" i="5"/>
  <c r="O37" i="6" s="1"/>
  <c r="L25" i="17" l="1"/>
  <c r="AB42" i="17"/>
  <c r="N36" i="7"/>
  <c r="N5" i="6" s="1"/>
  <c r="N10" i="6" s="1"/>
  <c r="N18" i="6" s="1"/>
  <c r="N44" i="6" s="1"/>
  <c r="O51" i="5"/>
  <c r="P35" i="7"/>
  <c r="Q42" i="5"/>
  <c r="Q43" i="5" s="1"/>
  <c r="Q44" i="5" s="1"/>
  <c r="Q27" i="7" s="1"/>
  <c r="Q31" i="7" s="1"/>
  <c r="Q52" i="5"/>
  <c r="Q53" i="5" s="1"/>
  <c r="Q55" i="5"/>
  <c r="Q6" i="17" s="1"/>
  <c r="Q10" i="17" s="1"/>
  <c r="Q16" i="17" s="1"/>
  <c r="S27" i="5"/>
  <c r="S36" i="5" s="1"/>
  <c r="S5" i="17" s="1"/>
  <c r="R27" i="5"/>
  <c r="R36" i="5" s="1"/>
  <c r="R5" i="17" s="1"/>
  <c r="P5" i="7"/>
  <c r="P14" i="7" s="1"/>
  <c r="P34" i="7" s="1"/>
  <c r="P47" i="5"/>
  <c r="P51" i="5" s="1"/>
  <c r="P37" i="6" l="1"/>
  <c r="P36" i="7"/>
  <c r="P5" i="6" s="1"/>
  <c r="P10" i="6" s="1"/>
  <c r="P18" i="6" s="1"/>
  <c r="R55" i="5"/>
  <c r="R6" i="17" s="1"/>
  <c r="R10" i="17" s="1"/>
  <c r="R16" i="17" s="1"/>
  <c r="R42" i="5"/>
  <c r="R43" i="5" s="1"/>
  <c r="R44" i="5" s="1"/>
  <c r="R27" i="7" s="1"/>
  <c r="R31" i="7" s="1"/>
  <c r="R52" i="5"/>
  <c r="R53" i="5" s="1"/>
  <c r="S52" i="5"/>
  <c r="S55" i="5"/>
  <c r="S6" i="17" s="1"/>
  <c r="S10" i="17" s="1"/>
  <c r="S42" i="5"/>
  <c r="S43" i="5" s="1"/>
  <c r="S44" i="5" s="1"/>
  <c r="S27" i="7" s="1"/>
  <c r="S31" i="7" s="1"/>
  <c r="Q5" i="7"/>
  <c r="Q14" i="7" s="1"/>
  <c r="Q34" i="7" s="1"/>
  <c r="Q47" i="5"/>
  <c r="Q51" i="5" s="1"/>
  <c r="O39" i="6"/>
  <c r="O41" i="6" s="1"/>
  <c r="O42" i="6" s="1"/>
  <c r="O44" i="6" s="1"/>
  <c r="Q35" i="7" l="1"/>
  <c r="Q36" i="7" s="1"/>
  <c r="S53" i="5"/>
  <c r="AC36" i="17"/>
  <c r="AC38" i="17" s="1"/>
  <c r="AC39" i="17" s="1"/>
  <c r="S16" i="17"/>
  <c r="AC26" i="17" s="1"/>
  <c r="AC20" i="17"/>
  <c r="AC22" i="17" s="1"/>
  <c r="AC27" i="17" s="1"/>
  <c r="AC23" i="17" s="1"/>
  <c r="Q37" i="6"/>
  <c r="S5" i="7"/>
  <c r="S14" i="7" s="1"/>
  <c r="S34" i="7" s="1"/>
  <c r="S47" i="5"/>
  <c r="S51" i="5" s="1"/>
  <c r="R5" i="7"/>
  <c r="R14" i="7" s="1"/>
  <c r="R34" i="7" s="1"/>
  <c r="R47" i="5"/>
  <c r="R51" i="5" s="1"/>
  <c r="P39" i="6"/>
  <c r="P41" i="6" s="1"/>
  <c r="P42" i="6" s="1"/>
  <c r="P44" i="6" s="1"/>
  <c r="Q5" i="6" l="1"/>
  <c r="Q10" i="6" s="1"/>
  <c r="Q18" i="6" s="1"/>
  <c r="R35" i="7"/>
  <c r="AC41" i="17"/>
  <c r="AC43" i="17" s="1"/>
  <c r="AC46" i="17" s="1"/>
  <c r="AC48" i="17" s="1"/>
  <c r="L32" i="17" s="1"/>
  <c r="AC28" i="17"/>
  <c r="AC31" i="17" s="1"/>
  <c r="AC33" i="17" s="1"/>
  <c r="R37" i="6"/>
  <c r="S37" i="6" s="1"/>
  <c r="R36" i="7"/>
  <c r="R5" i="6" s="1"/>
  <c r="R10" i="6" s="1"/>
  <c r="R18" i="6" s="1"/>
  <c r="Q39" i="6"/>
  <c r="Q41" i="6" s="1"/>
  <c r="Q42" i="6" s="1"/>
  <c r="Q44" i="6" s="1"/>
  <c r="AC49" i="17" l="1"/>
  <c r="AC42" i="17"/>
  <c r="S35" i="7"/>
  <c r="S36" i="7" s="1"/>
  <c r="S5" i="6" s="1"/>
  <c r="S10" i="6" s="1"/>
  <c r="S18" i="6" s="1"/>
  <c r="S39" i="6"/>
  <c r="S41" i="6" s="1"/>
  <c r="S42" i="6" s="1"/>
  <c r="R39" i="6"/>
  <c r="R41" i="6" s="1"/>
  <c r="R42" i="6" s="1"/>
  <c r="R44" i="6" s="1"/>
  <c r="S4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Xiaohan Xu</author>
  </authors>
  <commentList>
    <comment ref="E15" authorId="0" shapeId="0" xr:uid="{E951C7D3-8EBA-4CF5-ADA3-606A10E8F402}">
      <text>
        <r>
          <rPr>
            <b/>
            <sz val="9"/>
            <color indexed="81"/>
            <rFont val="Tahoma"/>
            <family val="2"/>
          </rPr>
          <t>Xiaohan Xu:</t>
        </r>
        <r>
          <rPr>
            <sz val="9"/>
            <color indexed="81"/>
            <rFont val="Tahoma"/>
            <family val="2"/>
          </rPr>
          <t xml:space="preserve">
Purchased oil sales are treated as a pass-through trading activity with minimal margin contribution. In the absence of specific guidance, the 2025 level is assumed to continue throughout the forecast period.</t>
        </r>
      </text>
    </comment>
    <comment ref="E23" authorId="0" shapeId="0" xr:uid="{8EAEE879-F59A-4C80-84F2-25B078AF733B}">
      <text>
        <r>
          <rPr>
            <b/>
            <sz val="9"/>
            <color indexed="81"/>
            <rFont val="Tahoma"/>
            <family val="2"/>
          </rPr>
          <t>Xiaohan Xu:</t>
        </r>
        <r>
          <rPr>
            <sz val="9"/>
            <color indexed="81"/>
            <rFont val="Tahoma"/>
            <family val="2"/>
          </rPr>
          <t xml:space="preserve">
purchased oil expense is assumed to track purchased oil revenue on a one-for-one basis throughout the forecast period.</t>
        </r>
      </text>
    </comment>
    <comment ref="E33" authorId="0" shapeId="0" xr:uid="{3382075D-2483-4B6D-9D64-449A77935D74}">
      <text>
        <r>
          <rPr>
            <b/>
            <sz val="9"/>
            <color indexed="81"/>
            <rFont val="Tahoma"/>
            <family val="2"/>
          </rPr>
          <t>Xiaohan Xu:</t>
        </r>
        <r>
          <rPr>
            <sz val="9"/>
            <color indexed="81"/>
            <rFont val="Tahoma"/>
            <family val="2"/>
          </rPr>
          <t xml:space="preserve">
Other operating expenses are forecast at $114 million annually, based on the average of 2023 and 2025 historical levels. The elevated 2024 expense of $406 million is excluded from the forecast as it is considered non-recurring and likely related to acquisition and integration activities</t>
        </r>
      </text>
    </comment>
    <comment ref="D34" authorId="0" shapeId="0" xr:uid="{A02CDA55-EF02-4E20-A790-00041B209214}">
      <text>
        <r>
          <rPr>
            <b/>
            <sz val="9"/>
            <color indexed="81"/>
            <rFont val="Tahoma"/>
            <family val="2"/>
          </rPr>
          <t>Xiaohan Xu:</t>
        </r>
        <r>
          <rPr>
            <sz val="9"/>
            <color indexed="81"/>
            <rFont val="Tahoma"/>
            <family val="2"/>
          </rPr>
          <t xml:space="preserve">
Impairment charges are excluded from the forecast period as they represent non-recurring accounting adjustments</t>
        </r>
      </text>
    </comment>
    <comment ref="E39" authorId="0" shapeId="0" xr:uid="{E21E5283-4B4F-4A6A-81DA-2F15F593F1F4}">
      <text>
        <r>
          <rPr>
            <b/>
            <sz val="9"/>
            <color indexed="81"/>
            <rFont val="Tahoma"/>
            <family val="2"/>
          </rPr>
          <t>Xiaohan Xu:</t>
        </r>
        <r>
          <rPr>
            <sz val="9"/>
            <color indexed="81"/>
            <rFont val="Tahoma"/>
            <family val="2"/>
          </rPr>
          <t xml:space="preserve">
Interest expense is forecast using an implied net interest rate of 1.71%, calculated from historical net interest expense relative to average debt balances. This approach is adopted to maintain consistency with the historical income statement presentation, which reports net interest expense rather than gross interest expense.</t>
        </r>
      </text>
    </comment>
    <comment ref="B42" authorId="0" shapeId="0" xr:uid="{1773596D-8119-4D8A-AC57-92D941C25ECE}">
      <text>
        <r>
          <rPr>
            <b/>
            <sz val="9"/>
            <color indexed="81"/>
            <rFont val="Tahoma"/>
            <family val="2"/>
          </rPr>
          <t>Xiaohan Xu:</t>
        </r>
        <r>
          <rPr>
            <sz val="9"/>
            <color indexed="81"/>
            <rFont val="Tahoma"/>
            <family val="2"/>
          </rPr>
          <t xml:space="preserve">
Two items are deliberately excluded from the forecast:
Derivative gains/(losses): $0 — FANG's commodity hedges are marked to market through the IS, but the economic cash impact is captured in CFO via cash-settled derivatives. Including unpredictable MTM swings in a DCF forecast would distort normalized earnings. Excluded in line with standard E&amp;P equity research practice.
Debt extinguishment gains: $0 — Gains/losses on bond tender premiums are one-time in nature and depend on the interest rate environment at time of refinancing. No active liability management program is assumed in the forecast period</t>
        </r>
      </text>
    </comment>
    <comment ref="E46" authorId="0" shapeId="0" xr:uid="{5312D208-52F9-4F4E-8E13-19AAD6B34C1F}">
      <text>
        <r>
          <rPr>
            <b/>
            <sz val="9"/>
            <color indexed="81"/>
            <rFont val="Tahoma"/>
            <family val="2"/>
          </rPr>
          <t>Xiaohan Xu:</t>
        </r>
        <r>
          <rPr>
            <sz val="9"/>
            <color indexed="81"/>
            <rFont val="Tahoma"/>
            <family val="2"/>
          </rPr>
          <t xml:space="preserve">
Minority interest is forecast as a percentage of E&amp;P revenue rather than net income, because the 2025 net income figure is distorted by impairment charges. Historical minority interest as a share of E&amp;P revenue was 2.35% in 2023 and 3.59% in 2024, while 2025 was anomalous at -0.87%. A normalized forecast assumption of 2.0% is therefore used as a conservative midpoint.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Xiaohan Xu</author>
  </authors>
  <commentList>
    <comment ref="A4" authorId="0" shapeId="0" xr:uid="{02B10686-955C-4C51-8480-3FBC818B293C}">
      <text>
        <r>
          <rPr>
            <b/>
            <sz val="9"/>
            <color indexed="81"/>
            <rFont val="Tahoma"/>
            <family val="2"/>
          </rPr>
          <t>Xiaohan Xu:</t>
        </r>
        <r>
          <rPr>
            <sz val="9"/>
            <color indexed="81"/>
            <rFont val="Tahoma"/>
            <family val="2"/>
          </rPr>
          <t xml:space="preserve">
Forecast operating cash flow excludes deferred income taxes, impairment charges, gains/losses on debt extinguishment, derivative gains/losses and settlements, other non-cash items, changes in income taxes payable, and other operating assets/liabilities. These items are considered non-recurring, acquisition-related, financing-related, highly volatile, or immaterial to long-term operating performance and are therefore assumed to have no material impact over the forecast period.</t>
        </r>
      </text>
    </comment>
    <comment ref="E26" authorId="0" shapeId="0" xr:uid="{73EC83C9-ECC0-4D1D-9360-9C1B3E75AF44}">
      <text>
        <r>
          <rPr>
            <b/>
            <sz val="9"/>
            <color indexed="81"/>
            <rFont val="Tahoma"/>
            <family val="2"/>
          </rPr>
          <t>Xiaohan Xu:</t>
        </r>
        <r>
          <rPr>
            <sz val="9"/>
            <color indexed="81"/>
            <rFont val="Tahoma"/>
            <family val="2"/>
          </rPr>
          <t xml:space="preserve">
Diamondback Energy operates an $8.0 billion share repurchase program, with approximately $2.1 billion remaining as of May 1, 2026. In the first quarter of 2026, the company repurchased 3.3 million shares for $548 million</t>
        </r>
      </text>
    </comment>
    <comment ref="E28" authorId="0" shapeId="0" xr:uid="{E4D46840-B4D0-4663-901D-4A66F6ECCE6B}">
      <text>
        <r>
          <rPr>
            <b/>
            <sz val="9"/>
            <color indexed="81"/>
            <rFont val="Tahoma"/>
            <family val="2"/>
          </rPr>
          <t>Xiaohan Xu:</t>
        </r>
        <r>
          <rPr>
            <sz val="9"/>
            <color indexed="81"/>
            <rFont val="Tahoma"/>
            <family val="2"/>
          </rPr>
          <t xml:space="preserve">
taking average payout ratio of 2023 and 2024, the number for 2025 is not representative</t>
        </r>
      </text>
    </comment>
    <comment ref="E30" authorId="0" shapeId="0" xr:uid="{5AA4573B-4029-4CFC-93DC-954CD6463EB9}">
      <text>
        <r>
          <rPr>
            <b/>
            <sz val="9"/>
            <color indexed="81"/>
            <rFont val="Tahoma"/>
            <family val="2"/>
          </rPr>
          <t>Xiaohan Xu:</t>
        </r>
        <r>
          <rPr>
            <sz val="9"/>
            <color indexed="81"/>
            <rFont val="Tahoma"/>
            <family val="2"/>
          </rPr>
          <t xml:space="preserve">
taking average payout ratio of 2023 and 2024, the number for 2025 is not representative</t>
        </r>
      </text>
    </comment>
  </commentList>
</comments>
</file>

<file path=xl/sharedStrings.xml><?xml version="1.0" encoding="utf-8"?>
<sst xmlns="http://schemas.openxmlformats.org/spreadsheetml/2006/main" count="674" uniqueCount="465">
  <si>
    <t>2026E</t>
  </si>
  <si>
    <t>2027E</t>
  </si>
  <si>
    <t>2028E</t>
  </si>
  <si>
    <t>2029E</t>
  </si>
  <si>
    <t>2030E</t>
  </si>
  <si>
    <t>$M</t>
  </si>
  <si>
    <t>DIAMONDBACK ENERGY (FANG)  —  FORECAST ASSUMPTIONS  |  2026E–2030E  |  Bear / Base / Bull Scenarios</t>
  </si>
  <si>
    <t>Category</t>
  </si>
  <si>
    <t>Assumption</t>
  </si>
  <si>
    <t>Unit</t>
  </si>
  <si>
    <t>Historicals</t>
  </si>
  <si>
    <t xml:space="preserve">BEAR </t>
  </si>
  <si>
    <t xml:space="preserve">BASE </t>
  </si>
  <si>
    <t xml:space="preserve"> BULL</t>
  </si>
  <si>
    <t>Historical Trend</t>
  </si>
  <si>
    <t>Management Guidance</t>
  </si>
  <si>
    <t>Rationale &amp; Basis</t>
  </si>
  <si>
    <t>2023A</t>
  </si>
  <si>
    <t>2024A</t>
  </si>
  <si>
    <t>2025A</t>
  </si>
  <si>
    <t>2026</t>
  </si>
  <si>
    <t>2027</t>
  </si>
  <si>
    <t>2028</t>
  </si>
  <si>
    <t>2029</t>
  </si>
  <si>
    <t>2030</t>
  </si>
  <si>
    <t>A.  PRODUCTION</t>
  </si>
  <si>
    <t>Production</t>
  </si>
  <si>
    <t>Oil production growth (YoY %)</t>
  </si>
  <si>
    <t>%</t>
  </si>
  <si>
    <t>2024: +28% / 2025: +47% — both acquisition-driven (Endeavor closed Sept 2024).</t>
  </si>
  <si>
    <t>2026 Q1: Increasing annual oil production guidance to 520+ (from 500 - 510) MBO/d and total BOE production to 972+ (from 926 - 962) MBOE/d; implying ~5% organic year-over-year growth</t>
  </si>
  <si>
    <t>Post-acquisition, FANG's Tier 1 Midland Basin inventory supports low-single-digit organic growth. Growth is progressively normalized toward 2% by 2030 to reflect inventory depletion. No M&amp;A assumed.</t>
  </si>
  <si>
    <t>Gas production growth (YoY %)</t>
  </si>
  <si>
    <t>also acquisition-driven</t>
  </si>
  <si>
    <t xml:space="preserve">No explicit gas production guidance; grows with oil wells. </t>
  </si>
  <si>
    <t>The company's gas oil ratio has increased from 2.06 to 2.24 to 2.47 in the past 3 years, gas is growing slightly faster than oil, reflecting larger post-Endeavor asset base and somewhat gassier production mix</t>
  </si>
  <si>
    <t>NGL production growth (YoY %)</t>
  </si>
  <si>
    <t>No explicit NGL guidance; tracks oil and gas processing activity.</t>
  </si>
  <si>
    <t>NGL growth tracks oil activity and gas processing utilization. forecast NGL mix is assumed to stabilize near current levels rather than continue increasing at the historical rate.</t>
  </si>
  <si>
    <t>B.  COMMODITY PRICING</t>
  </si>
  <si>
    <t>Pricing</t>
  </si>
  <si>
    <t>WTI oil price assumption ($/Bbl)</t>
  </si>
  <si>
    <t>$/Bbl</t>
  </si>
  <si>
    <t>Jan 2026: $65, Feb: $67, Mar: $101, Apr: $105, May: $87, Jun: $80. Volatility driven by Iran/Strait of Hormuz geopolitical events.(Investing.com)</t>
  </si>
  <si>
    <t xml:space="preserve">FANG does not publicly guide WTI. </t>
  </si>
  <si>
    <t>The base case is estimated using future strips (S&amp;P Capital IQ WTI Crude Oil Future Contracts; Using annual average). Given exceptional geopolitical uncertainty in global oil markets, valuation is presented under three commodity-price scenarios rather than a single deterministic forecast.</t>
  </si>
  <si>
    <t>FANG realized oil price ($/Bbl)</t>
  </si>
  <si>
    <t>Realized discount to WTI: 2023 -$2.09, 2024 -$2.01, 2025 -$0.16. The average WTI differential is around -$1.5</t>
  </si>
  <si>
    <t>Oil-price assumptions are based on Capital IQ analyst consensus estimates.  Realized oil prices are derived by applying Diamondback's historical discount to WTI of approximately $1.5/bbl.</t>
  </si>
  <si>
    <t>Realized natural gas price ($/MMBtu)</t>
  </si>
  <si>
    <t>$/MMBtu</t>
  </si>
  <si>
    <t>Natural Gas - Henry Hub: 2023 $2.53, 2024 $2.19, 2025 $3.52.Realized discount for each year: 2023 -$1.21, 2024 -$1.87, 2025 -$2.63. Differential is around -$1.9</t>
  </si>
  <si>
    <t xml:space="preserve">No explicit gas price guidance. </t>
  </si>
  <si>
    <t>Natural gas price assumptions are based on Capital IQ analyst consensus estimates.</t>
  </si>
  <si>
    <t>Realized NGL price ($/Bbl)</t>
  </si>
  <si>
    <t>Mont Belvieu TX Propane spot price: 2023 $29.86, 2024 $32.67, 2025 $ 31.5 (EIA). FANG's NGL realization is usually 60% of Mont Belvieu and 26% of WTI</t>
  </si>
  <si>
    <t>No explicit guidance. NGL tracks WTI and Mont Belvieu propane / ethane prices.</t>
  </si>
  <si>
    <t>Assume the realization rate to WTI remains stably at 26%.</t>
  </si>
  <si>
    <t>C.  UNIT OPERATING COSTS  ($/BOE)</t>
  </si>
  <si>
    <t>Unit Costs</t>
  </si>
  <si>
    <t>Lease operating expenses (LOE) per BOE</t>
  </si>
  <si>
    <t>$/BOE</t>
  </si>
  <si>
    <t>2024: $5.87 (integration cost spike on Endeavor) → 2025: $5.55 (normalising). FANG is consistently a top-quartile low-cost Permian operator.</t>
  </si>
  <si>
    <t>2025 Q3 guidance ~$5.40–5.70/BOE. FANG targets sub-$6/BOE LOE structurally.</t>
  </si>
  <si>
    <t>Using 2025 as the normalized benchmark:
BOE growth and scale efficiencies support gradual LOE improvement. Oilfield service inflation and labor cost increases offset part of the benefit. Assume LOE declines by 0.05 per year</t>
  </si>
  <si>
    <t>Production &amp; ad valorem taxes per BOE</t>
  </si>
  <si>
    <t xml:space="preserve"> Declining trend reflects commodity-price-linked structure plus mix shift toward lower-tax Permian Basin acreage.</t>
  </si>
  <si>
    <t>Commodity-price-linked; not explicitly guided per BOE.</t>
  </si>
  <si>
    <t>The Tax/BOE over WTI ratios remained at ~3.97% throughout the past 3 years.</t>
  </si>
  <si>
    <t>Gathering, processing &amp; transport (GPT) per BOE</t>
  </si>
  <si>
    <t>Consistent improvement driven by Rattler/midstream contract scale benefits and Endeavor's lower-cost gathering agreements in Midland Basin. From 2023 to 2025, GPT/BOE already decreased by 13%.</t>
  </si>
  <si>
    <t>2025 Q3 guidance ~1.45–1.60/BOE. FANG has guided structurally lower GPT as Endeavor volumes leverage existing midstream infrastructure.</t>
  </si>
  <si>
    <t>GPT per BOE is forecast to decline modestly as higher production volumes are transported through largely fixed midstream infrastructure, allowing unit transportation costs to benefit from economies of scale and volume-based contract discounts.</t>
  </si>
  <si>
    <t>General &amp; administrative expenses (G&amp;A) per BOE</t>
  </si>
  <si>
    <t xml:space="preserve"> 2024: $0.68 (integration &amp; transaction costs) → 2025: $0.62 (normalising). FANG has best-in-class G&amp;A structure for a large-cap E&amp;P.</t>
  </si>
  <si>
    <t>2025 Q3 guidance cash G&amp;A $0.60-0.75/BOE, Non-cash G&amp;A $ 0.25-0.35/BOE</t>
  </si>
  <si>
    <t>G&amp;A per BOE is expected to decline gradually as corporate overhead grows more slowly than production volumes. The forecast assumes a largely fixed administrative cost base that is increasingly diluted across a larger production platform.</t>
  </si>
  <si>
    <t>D.  DEPRECIATION, DEPLETION &amp; AMORTIZATION</t>
  </si>
  <si>
    <t>DD&amp;A</t>
  </si>
  <si>
    <t>DD&amp;A per BOE ($/BOE)</t>
  </si>
  <si>
    <t xml:space="preserve"> Sharp increase driven by high cost basis of Endeavor acquisition assets ($39B gross PP&amp;E added). 2025 DD&amp;A of $5,038M includes elevated amortization of acquired proved reserves.</t>
  </si>
  <si>
    <t>No explicit DD&amp;A/BOE guidance.</t>
  </si>
  <si>
    <t>DD&amp;A per BOE is held constant at approximately $15/BOE throughout the forecast period. . As no major acquisitions are assumed in the forecast period, DD&amp;A is expected to remain broadly stable rather than continue increasing.</t>
  </si>
  <si>
    <t>E.  CAPITAL EXPENDITURE</t>
  </si>
  <si>
    <t>Capex</t>
  </si>
  <si>
    <t>Total D&amp;C capex ($M)</t>
  </si>
  <si>
    <t xml:space="preserve"> Capital efficiency improving sharply as production base doubles. Excludes property acquisitions ($2B+ in 2023, $8.9B in 2024).</t>
  </si>
  <si>
    <t xml:space="preserve">2026 Q1 guidance for capex is 3.90Bn. </t>
  </si>
  <si>
    <t>Capex is held constant across scenarios and is based on management's 2026 guidance of approximately $3.9 billion. Future capex is assumed to increase modestly by 2–3% per annum, reflecting reserve replacement requirements and inflationary pressures.</t>
  </si>
  <si>
    <t>F.  VALUATION PARAMETERS</t>
  </si>
  <si>
    <t>Valuation</t>
  </si>
  <si>
    <t>Effective corporate tax rate (%)</t>
  </si>
  <si>
    <t>2023: 21.5% (near-statutory). 2024: 17.8% (higher IDC deductions on Endeavor acquisition D&amp;C). 2025: 17.4% — depressed by $3.65B impairment reducing taxable income (normalized 2025 tax rate ~21%).</t>
  </si>
  <si>
    <t xml:space="preserve">No formal tax rate guidance. </t>
  </si>
  <si>
    <t>Normalized rate 20% reflects: 21% federal statutory rate, less IDC benefit (~1–2pp)</t>
  </si>
  <si>
    <t>WACC</t>
  </si>
  <si>
    <t>No formal guidance</t>
  </si>
  <si>
    <t>detailed in WACC spreadsheet</t>
  </si>
  <si>
    <t>Terminal Growth Rate</t>
  </si>
  <si>
    <t>Based on RRR calculation in Terminal Growth spreadsheet</t>
  </si>
  <si>
    <t>Organic reserve replacement averaged below 100% in 2024–2025, suggesting that reserve additions did not fully offset annual production. However, these years coincided with the integration of the Endeavor acquisition and may not fully reflect Diamondback's long-run reserve replacement capability. Historical reserve replacement exceeded 100% prior to the acquisition, while management continues to guide for organic production growth. As a result, a conservative terminal growth rate of 1.5% is adopted in the base case, representing modest long-term growth that is below nominal GDP growth but above a zero-growth run-off scenario.</t>
  </si>
  <si>
    <t>WACC=D/A*(1-T)*Rd+E/A*Re</t>
  </si>
  <si>
    <t>Debt</t>
  </si>
  <si>
    <t>Million</t>
  </si>
  <si>
    <t>Equity</t>
  </si>
  <si>
    <t>D/A</t>
  </si>
  <si>
    <t>E/A</t>
  </si>
  <si>
    <t>Cost of Debt (post tax)</t>
  </si>
  <si>
    <t>Cost of Debt (pre tax)</t>
  </si>
  <si>
    <t>Estimated using the weighted average coupon rate of outstanding debt securities. This is used as a proxy for the market cost of debt, as Diamondback maintains an investment-grade credit profile and coupon rates are broadly representative of current borrowing costs.</t>
  </si>
  <si>
    <t>tax rate</t>
  </si>
  <si>
    <t>same as Assumptions</t>
  </si>
  <si>
    <t>Cost of Equity</t>
  </si>
  <si>
    <t>Risk Free Rate</t>
  </si>
  <si>
    <t>Levered Beta</t>
  </si>
  <si>
    <t>3Y beta from Capital IQ</t>
  </si>
  <si>
    <t>Equity Risk Premium</t>
  </si>
  <si>
    <t>based on US country ERM published by Damodaran (2026)</t>
  </si>
  <si>
    <t>Raw Data</t>
  </si>
  <si>
    <t>S&amp;P Capital IQ - Standard</t>
  </si>
  <si>
    <t>2021 FY</t>
  </si>
  <si>
    <t>2022 FY</t>
  </si>
  <si>
    <t>2023 FY</t>
  </si>
  <si>
    <t>2024 FY</t>
  </si>
  <si>
    <t>2025 FY</t>
  </si>
  <si>
    <t>Oil Reserves (in MMbbls)</t>
  </si>
  <si>
    <t>Oil Reserves (in MMboe)</t>
  </si>
  <si>
    <t>Production, Oil</t>
  </si>
  <si>
    <t>Reserve Revisions, Oil</t>
  </si>
  <si>
    <t>Reserve Additions, Oil</t>
  </si>
  <si>
    <t>Gas Reserves (in Bcf)</t>
  </si>
  <si>
    <t>Gas Reserves (in MMboe)</t>
  </si>
  <si>
    <t>Production, Gas</t>
  </si>
  <si>
    <t>Reserve Revisions, Gas</t>
  </si>
  <si>
    <t>Reserve Additions, Gas</t>
  </si>
  <si>
    <t>NGL Reserves (in MMbbls)</t>
  </si>
  <si>
    <t>NGL Reserves (in MMboe)</t>
  </si>
  <si>
    <t>Production, NGL</t>
  </si>
  <si>
    <t>Reserve Revisions, NGL</t>
  </si>
  <si>
    <t>Reserve Additions, NGL</t>
  </si>
  <si>
    <t xml:space="preserve">Total </t>
  </si>
  <si>
    <t>Organic Addition, Oil</t>
  </si>
  <si>
    <t>Organic Addition, Gas</t>
  </si>
  <si>
    <t>Organic Addition, NGL</t>
  </si>
  <si>
    <t>RRR</t>
  </si>
  <si>
    <t>RRR, Oil</t>
  </si>
  <si>
    <t>RRR, Gas</t>
  </si>
  <si>
    <t>RRR, NGL</t>
  </si>
  <si>
    <t>RRR, Combined</t>
  </si>
  <si>
    <t>DIAMONDBACK ENERGY (FANG)  —  FORECAST INCOME STATEMENT  |  $M  |  2026E–2030E</t>
  </si>
  <si>
    <t>HISTORICAL</t>
  </si>
  <si>
    <t>Oil Production (MBbl)</t>
  </si>
  <si>
    <t>Natural Gas Production (MMcf)</t>
  </si>
  <si>
    <t>NGL Production (MBbl)</t>
  </si>
  <si>
    <t>Total BOE (MBOE)  [Oil+Gas/6+NGL]</t>
  </si>
  <si>
    <t>E&amp;P Revenue (excl. purchased oil)</t>
  </si>
  <si>
    <t>Total Revenue</t>
  </si>
  <si>
    <t>E&amp;P COGS Subtotal</t>
  </si>
  <si>
    <t>Total COGS</t>
  </si>
  <si>
    <t>Gross Profit</t>
  </si>
  <si>
    <t>Total Operating Expenses</t>
  </si>
  <si>
    <t>EBIT  (Operating Income, excl. impairment)</t>
  </si>
  <si>
    <t>Interest Expense, net</t>
  </si>
  <si>
    <t>Other Non-Operating Income (normalized)</t>
  </si>
  <si>
    <t>Pretax Income</t>
  </si>
  <si>
    <t>Income Tax Expense</t>
  </si>
  <si>
    <t>Net Income</t>
  </si>
  <si>
    <t>Net Income Attributable to FANG</t>
  </si>
  <si>
    <t>Shares Outstanding, Basic (000s)</t>
  </si>
  <si>
    <t>EPS Basic  ($/share)</t>
  </si>
  <si>
    <t>EBITDA  ($M)</t>
  </si>
  <si>
    <t>EBITDA Margin  (% of E&amp;P Revenue)</t>
  </si>
  <si>
    <t>Capex  ($M)  [from Assumptions]</t>
  </si>
  <si>
    <t>NOPAT  [EBIT×(1-Tax)]  — DCF input</t>
  </si>
  <si>
    <t>BEAR</t>
  </si>
  <si>
    <t>BASE</t>
  </si>
  <si>
    <t>BULL</t>
  </si>
  <si>
    <t>A.  CURRENT ASSETS  ($M)</t>
  </si>
  <si>
    <t>Cash &amp; Cash Equivalents  [← CF back-fill]</t>
  </si>
  <si>
    <t>Oil, Gas &amp; NGL Receivables  (28-day DSO)</t>
  </si>
  <si>
    <t>Joint-Interest &amp; Other Receivables</t>
  </si>
  <si>
    <t>Inventories</t>
  </si>
  <si>
    <t>Prepaid &amp; Other Current Assets</t>
  </si>
  <si>
    <t>Total Current Assets</t>
  </si>
  <si>
    <t>B.  LONG-TERM ASSETS  ($M)</t>
  </si>
  <si>
    <t>Gross Oil &amp; Gas Properties</t>
  </si>
  <si>
    <t>Other Property &amp; Equipment</t>
  </si>
  <si>
    <t>Accumulated DD&amp;A  (negative)</t>
  </si>
  <si>
    <t>PP&amp;E, Net</t>
  </si>
  <si>
    <t>Other Long-Term Assets</t>
  </si>
  <si>
    <t>TOTAL ASSETS</t>
  </si>
  <si>
    <t>C.  CURRENT LIABILITIES  ($M)</t>
  </si>
  <si>
    <t>Accounts Payable &amp; Accrued Capex  (60-day)</t>
  </si>
  <si>
    <t>Current Portion of Long-Term Debt</t>
  </si>
  <si>
    <t>Other Accrued Liabilities</t>
  </si>
  <si>
    <t>Revenues &amp; Royalties Payable  (34-day)</t>
  </si>
  <si>
    <t>Income Taxes Payable</t>
  </si>
  <si>
    <t>Total Current Liabilities</t>
  </si>
  <si>
    <t>D.  LONG-TERM LIABILITIES  ($M)</t>
  </si>
  <si>
    <t>Long-Term Debt  [held at 2025A — QC note]</t>
  </si>
  <si>
    <t>Deferred Income Taxes</t>
  </si>
  <si>
    <t>Other Long-Term Liabilities</t>
  </si>
  <si>
    <t>TOTAL LIABILITIES</t>
  </si>
  <si>
    <t>E.  SHAREHOLDERS' EQUITY  ($M)</t>
  </si>
  <si>
    <t>Common Stock</t>
  </si>
  <si>
    <t>Additional Paid-In Capital</t>
  </si>
  <si>
    <t>Retained Earnings</t>
  </si>
  <si>
    <t>Accumulated OCI</t>
  </si>
  <si>
    <t>Total FANG Shareholders' Equity</t>
  </si>
  <si>
    <t>Non-Controlling Interests</t>
  </si>
  <si>
    <t>Total Equity</t>
  </si>
  <si>
    <t>TOTAL LIABILITIES &amp; EQUITY</t>
  </si>
  <si>
    <t>CHECK: Total Assets − Total L&amp;E  (must = 0)</t>
  </si>
  <si>
    <t>DIAMONDBACK ENERGY (FANG)  —  FORECAST CASH FLOW STATEMENT  |  $M</t>
  </si>
  <si>
    <t>Net Cash from Operations</t>
  </si>
  <si>
    <t>Net Cash from Investing</t>
  </si>
  <si>
    <t>Net Cash from Financing</t>
  </si>
  <si>
    <t>Beginning Cash</t>
  </si>
  <si>
    <t>Ending Cash  [→ back-fills Forecast_BS Cash]</t>
  </si>
  <si>
    <t>(In millions, except per share amounts, shares in thousands)</t>
  </si>
  <si>
    <t>Revenues:</t>
  </si>
  <si>
    <t xml:space="preserve"> + Oil sales</t>
  </si>
  <si>
    <t xml:space="preserve"> + Natural gas sales</t>
  </si>
  <si>
    <t xml:space="preserve"> + Natural gas liquid sales</t>
  </si>
  <si>
    <t xml:space="preserve"> + Sales of purchased oil</t>
  </si>
  <si>
    <t>Total revenues</t>
  </si>
  <si>
    <t>Cost of Goods Sold:</t>
  </si>
  <si>
    <t xml:space="preserve"> + Lease operating expenses</t>
  </si>
  <si>
    <t xml:space="preserve"> + Production and ad valorem taxes</t>
  </si>
  <si>
    <t xml:space="preserve"> + Gathering, processing and transportation</t>
  </si>
  <si>
    <t xml:space="preserve"> + Purchased oil expense</t>
  </si>
  <si>
    <t>Gross Profit:</t>
  </si>
  <si>
    <t>Other Operating Income:</t>
  </si>
  <si>
    <t xml:space="preserve"> + Other operating income</t>
  </si>
  <si>
    <t>Total Other Operating Income</t>
  </si>
  <si>
    <t>Operating Expenses:</t>
  </si>
  <si>
    <t xml:space="preserve"> + Depreciation, depletion, amortization and accretion</t>
  </si>
  <si>
    <t xml:space="preserve"> + Impairment of oil and natural gas properties</t>
  </si>
  <si>
    <t>—</t>
  </si>
  <si>
    <t xml:space="preserve"> + General and administrative expenses</t>
  </si>
  <si>
    <t xml:space="preserve"> + Other operating expenses, net</t>
  </si>
  <si>
    <t xml:space="preserve">Operating Income EBIT: </t>
  </si>
  <si>
    <t>Interest expense, net:</t>
  </si>
  <si>
    <t>Other Non-Operating Income (Expense):</t>
  </si>
  <si>
    <t xml:space="preserve"> + Other income (expense), net</t>
  </si>
  <si>
    <t xml:space="preserve"> + Gain (loss) on derivative instruments, net</t>
  </si>
  <si>
    <t xml:space="preserve"> + Gain (loss) on extinguishment of debt, net</t>
  </si>
  <si>
    <t>Total other Non-operating income (expense), net</t>
  </si>
  <si>
    <t>Pretax Income:</t>
  </si>
  <si>
    <t>Net income (loss)</t>
  </si>
  <si>
    <t xml:space="preserve"> - Non-Controlling Interest</t>
  </si>
  <si>
    <t>Net income (loss) attributable to Diamondback Energy, Inc.</t>
  </si>
  <si>
    <t>Earnings (loss) per common share:</t>
  </si>
  <si>
    <t>Basic</t>
  </si>
  <si>
    <t>Diluted</t>
  </si>
  <si>
    <t>Weighted average common shares outstanding:</t>
  </si>
  <si>
    <t>Comprehensive income (loss):</t>
  </si>
  <si>
    <t xml:space="preserve"> + Pension and postretirement benefit plans</t>
  </si>
  <si>
    <t>Comprehensive income (loss) attributable to Diamondback Energy, Inc</t>
  </si>
  <si>
    <t>(In millions, except par value and share amounts)</t>
  </si>
  <si>
    <t>Assets</t>
  </si>
  <si>
    <t>Current assets:</t>
  </si>
  <si>
    <t>Cash and cash equivalents ($ 13  million and $ 27  million related to Viper)</t>
  </si>
  <si>
    <t>Restricted cash</t>
  </si>
  <si>
    <t>Accounts receivable:</t>
  </si>
  <si>
    <t>Joint interest and other, net</t>
  </si>
  <si>
    <t>Oil and natural gas sales, net ($ 262  million and $ 149  million related to Viper)</t>
  </si>
  <si>
    <t>Prepaid expenses and other current assets ($ 50  million and $ 31  million related to Viper)</t>
  </si>
  <si>
    <t>Total current assets</t>
  </si>
  <si>
    <t>Property and equipment:</t>
  </si>
  <si>
    <t>Oil and natural gas properties:</t>
  </si>
  <si>
    <t>Other property, equipment and land</t>
  </si>
  <si>
    <t>Property and equipment, net</t>
  </si>
  <si>
    <t>Other assets</t>
  </si>
  <si>
    <t>Total assets</t>
  </si>
  <si>
    <t>Liabilities and Stockholders’ Equity</t>
  </si>
  <si>
    <t>Current liabilities:</t>
  </si>
  <si>
    <t>Accounts payable and accrued capital expenditures</t>
  </si>
  <si>
    <t>Current maturities of debt</t>
  </si>
  <si>
    <t>Other accrued liabilities</t>
  </si>
  <si>
    <t>Revenues and royalties payable</t>
  </si>
  <si>
    <t>Derivative instruments</t>
  </si>
  <si>
    <t>Income taxes payable</t>
  </si>
  <si>
    <t>Total current liabilities</t>
  </si>
  <si>
    <t>Long-term debt ($ 2,186  million and $ 1,083  million related to Viper)</t>
  </si>
  <si>
    <t>Deferred income taxes</t>
  </si>
  <si>
    <t>Other long-term liabilities</t>
  </si>
  <si>
    <t>Total liabilities</t>
  </si>
  <si>
    <t>Stockholders’ equity:</t>
  </si>
  <si>
    <t>Additional paid-in capital</t>
  </si>
  <si>
    <t>Retained earnings (accumulated deficit)</t>
  </si>
  <si>
    <t>Accumulated other comprehensive income (loss)</t>
  </si>
  <si>
    <t>Total Diamondback Energy, Inc. stockholders’ equity</t>
  </si>
  <si>
    <t>Non-controlling interest</t>
  </si>
  <si>
    <t>Total equity</t>
  </si>
  <si>
    <t>Total liabilities and stockholders’ equity</t>
  </si>
  <si>
    <t>(In millions)</t>
  </si>
  <si>
    <t>Cash flows from operating activities:</t>
  </si>
  <si>
    <t>Adjustments to reconcile net income (loss) to net cash provided by (used in) operating activities:</t>
  </si>
  <si>
    <t>Provision for (benefit from) deferred income taxes</t>
  </si>
  <si>
    <t>Depreciation, depletion, amortization and accretion</t>
  </si>
  <si>
    <t>Impairment of oil and natural gas properties</t>
  </si>
  <si>
    <t>(Gain) loss on extinguishment of debt</t>
  </si>
  <si>
    <t>(Gain) loss on derivative instruments, net</t>
  </si>
  <si>
    <t>Cash received (paid) on settlement of derivative instruments</t>
  </si>
  <si>
    <t>Other</t>
  </si>
  <si>
    <t>Changes in operating assets and liabilities:</t>
  </si>
  <si>
    <t>Accounts receivable</t>
  </si>
  <si>
    <t>Accounts payable and accrued liabilities</t>
  </si>
  <si>
    <t>Net cash provided by (used in) operating activities</t>
  </si>
  <si>
    <t>Cash flows from investing activities:</t>
  </si>
  <si>
    <t>Additions to oil and natural gas properties</t>
  </si>
  <si>
    <t>Property acquisitions</t>
  </si>
  <si>
    <t>Proceeds from sale of assets</t>
  </si>
  <si>
    <t>Net cash provided by (used in) investing activities</t>
  </si>
  <si>
    <t>Cash flows from financing activities:</t>
  </si>
  <si>
    <t>Proceeds from debt</t>
  </si>
  <si>
    <t>Repayment of debt</t>
  </si>
  <si>
    <t>Repurchased shares under repurchase program</t>
  </si>
  <si>
    <t>Repurchased shares - related party</t>
  </si>
  <si>
    <t>Proceeds from partial sale of investment in Viper</t>
  </si>
  <si>
    <t>Net proceeds from Viper’s issuance of common stock</t>
  </si>
  <si>
    <t>Dividends paid to stockholders</t>
  </si>
  <si>
    <t>Dividends/distributions to non-controlling interest</t>
  </si>
  <si>
    <t>Net cash provided by (used in) financing activities</t>
  </si>
  <si>
    <t>Net increase (decrease) in cash, cash equivalents and restricted cash</t>
  </si>
  <si>
    <t>Cash, cash equivalents and restricted cash at beginning of period</t>
  </si>
  <si>
    <t>Cash, cash equivalents and restricted cash at end of period</t>
  </si>
  <si>
    <t>Metric Needed</t>
  </si>
  <si>
    <t>Oil Production</t>
  </si>
  <si>
    <t>Gas Production</t>
  </si>
  <si>
    <t>NGL Production</t>
  </si>
  <si>
    <t>Total BOE (MBOE)</t>
  </si>
  <si>
    <t>Realized Oil Price</t>
  </si>
  <si>
    <t>Realized Gas Price</t>
  </si>
  <si>
    <t>Realized NGL Price</t>
  </si>
  <si>
    <t>Combined Realized Price</t>
  </si>
  <si>
    <t>LOE per BOE</t>
  </si>
  <si>
    <t>Production Tax per BOE</t>
  </si>
  <si>
    <t>GPT per BOE</t>
  </si>
  <si>
    <t>G&amp;A per BOE</t>
  </si>
  <si>
    <t>Net change in Cash</t>
  </si>
  <si>
    <t>Total debt, net</t>
  </si>
  <si>
    <t>PRODUCTION VOLUMES</t>
  </si>
  <si>
    <t>REVENUES  ($M)</t>
  </si>
  <si>
    <t xml:space="preserve"> Oil Sales</t>
  </si>
  <si>
    <t xml:space="preserve"> Natural Gas Sales</t>
  </si>
  <si>
    <t xml:space="preserve"> NGL Sales</t>
  </si>
  <si>
    <t>Purchased Oil Revenue (pass-through)</t>
  </si>
  <si>
    <t>COST OF GOODS SOLD  ($M)</t>
  </si>
  <si>
    <t>Lease Operating Expenses (LOE)</t>
  </si>
  <si>
    <t>Production &amp; Ad Valorem Taxes</t>
  </si>
  <si>
    <t>Gathering, Processing &amp; Transportation</t>
  </si>
  <si>
    <t>Purchased Oil Expense (pass-through)</t>
  </si>
  <si>
    <t>Other Operating Income</t>
  </si>
  <si>
    <t>Other Operating Income % of Total Revenue</t>
  </si>
  <si>
    <t>OPERATING EXPENSES  ($M)</t>
  </si>
  <si>
    <t>Depreciation, Depletion &amp; Amortization</t>
  </si>
  <si>
    <t>General &amp; Administrative (cash G&amp;A basis)</t>
  </si>
  <si>
    <t>Other Operating Expenses, net</t>
  </si>
  <si>
    <t>interest rate</t>
  </si>
  <si>
    <t>Non-Controlling Interest (NCI)</t>
  </si>
  <si>
    <t>Non-Controlling Interest (NCI) % of E&amp;P Rev</t>
  </si>
  <si>
    <t>common stock:0.289079B, share price (close): $150.33 on 12/31/2025</t>
  </si>
  <si>
    <t>Add: Depreciation, Depletion &amp; Amortization</t>
  </si>
  <si>
    <t>Add: Deferred Income Taxes</t>
  </si>
  <si>
    <t>Other Non-Cash Items  [held at 2023A]</t>
  </si>
  <si>
    <t>CASH FROM OPERATIONS  ($M)</t>
  </si>
  <si>
    <t>CASH FROM INVESTING  ($M)</t>
  </si>
  <si>
    <t>Change in Oil/Gas Receivables  [−ΔAR]</t>
  </si>
  <si>
    <t>Change in AP &amp; Accrued  [+ΔAP]</t>
  </si>
  <si>
    <t>Change in Revenue Payable  [+ΔRevPay]</t>
  </si>
  <si>
    <t>Div payout ratio %</t>
  </si>
  <si>
    <t>Debt Proceeds (net of repayments)  [0 — debt held constant]</t>
  </si>
  <si>
    <t>Share Buybacks</t>
  </si>
  <si>
    <t>Dividends to FANG Shareholders</t>
  </si>
  <si>
    <t>Dividends to Non-Controlling Interests</t>
  </si>
  <si>
    <t>Organic Capex (D&amp;C + Infrastructure)</t>
  </si>
  <si>
    <t>Property Acquisitions  [0 — no M&amp;A assumed]</t>
  </si>
  <si>
    <t>Asset Sales Proceeds  [0 — no divestitures]</t>
  </si>
  <si>
    <t>Net Increase in cash</t>
  </si>
  <si>
    <t>CASH FROM FINANCING  ($M)</t>
  </si>
  <si>
    <t>CASH RECONCILIATION  ($M)</t>
  </si>
  <si>
    <t xml:space="preserve">Debt Repayments </t>
  </si>
  <si>
    <t>Implied Value Per Share</t>
  </si>
  <si>
    <t>Diluted shares</t>
  </si>
  <si>
    <t>Implied Equity Value</t>
  </si>
  <si>
    <t>Less: Debt</t>
  </si>
  <si>
    <t>Implied Enterprise Value</t>
  </si>
  <si>
    <t>PV of Terminal Value</t>
  </si>
  <si>
    <t>NPV of UFCF 2026 - 2030</t>
  </si>
  <si>
    <t>DCF Value - Perpetuity Growth</t>
  </si>
  <si>
    <t>Implied Exit Multiple</t>
  </si>
  <si>
    <t>Terminal Value</t>
  </si>
  <si>
    <t>Perpetuity growth rate</t>
  </si>
  <si>
    <t>FY2030E Unlevered Free Cash Flow</t>
  </si>
  <si>
    <t>Terminal Value - Perpetuity Growth</t>
  </si>
  <si>
    <t>$</t>
  </si>
  <si>
    <t>Present Value of Unlevered Free Cash Flow</t>
  </si>
  <si>
    <t>#</t>
  </si>
  <si>
    <t>Discount factor</t>
  </si>
  <si>
    <t>Discount period</t>
  </si>
  <si>
    <t>Discount rate</t>
  </si>
  <si>
    <t>Unlevered Free Cash Flows</t>
  </si>
  <si>
    <t>– Capital expenditures</t>
  </si>
  <si>
    <t>± Changes in working capital</t>
  </si>
  <si>
    <t>+ Depreciation and Amortization</t>
  </si>
  <si>
    <t>EBIT</t>
  </si>
  <si>
    <t>FY2030E</t>
  </si>
  <si>
    <t>FY2029E</t>
  </si>
  <si>
    <t>FY2028E</t>
  </si>
  <si>
    <t>FY2027E</t>
  </si>
  <si>
    <t>FY2026E</t>
  </si>
  <si>
    <t>Units</t>
  </si>
  <si>
    <t>Amounts in millions, except per share amount</t>
  </si>
  <si>
    <t>Discounted Cash Flow</t>
  </si>
  <si>
    <t>Bear</t>
  </si>
  <si>
    <t>Base</t>
  </si>
  <si>
    <t>Bull</t>
  </si>
  <si>
    <t>NOPAT (tax=20%)</t>
  </si>
  <si>
    <t>Add: Cash &amp; Equivalents</t>
  </si>
  <si>
    <t>reflect simplification in derivative instriments</t>
  </si>
  <si>
    <t>Terminal Value - EV/EBITDA</t>
  </si>
  <si>
    <t>FY2030E EBITDA</t>
  </si>
  <si>
    <t>Exit EV/EBITDA Multiple</t>
  </si>
  <si>
    <t>PV of Forecast-Period UFCFs (years 1–5)</t>
  </si>
  <si>
    <t>of which: TV as % of total EV</t>
  </si>
  <si>
    <t>Enterprise Value</t>
  </si>
  <si>
    <t>Less: Net Debt</t>
  </si>
  <si>
    <t>Less: Minority Interest</t>
  </si>
  <si>
    <t>Equity Value</t>
  </si>
  <si>
    <t>Implied Share Price</t>
  </si>
  <si>
    <t>Diamondback 2026 Q1 Financials</t>
  </si>
  <si>
    <t>Cash &amp; Equivalent</t>
  </si>
  <si>
    <t>Current portion of long term debt</t>
  </si>
  <si>
    <t>Long term debt</t>
  </si>
  <si>
    <t>Total shares outstanding</t>
  </si>
  <si>
    <t>Total NCI</t>
  </si>
  <si>
    <t>% relative to share price 3/31/2026</t>
  </si>
  <si>
    <t>Share price</t>
  </si>
  <si>
    <t>This is based on 2025 year end data</t>
  </si>
  <si>
    <t>This is based on 2026 Q1 data</t>
  </si>
  <si>
    <t>MBbls</t>
  </si>
  <si>
    <t>MMcf</t>
  </si>
  <si>
    <t>MBOE</t>
  </si>
  <si>
    <t>$ per Bbl</t>
  </si>
  <si>
    <t>$ per Mcf</t>
  </si>
  <si>
    <t>$ per BOE</t>
  </si>
  <si>
    <t>$ Million</t>
  </si>
  <si>
    <t>Capital Expenditure</t>
  </si>
  <si>
    <t>Revenue from Oil, Natural Gas, and Liquid Natural Gas</t>
  </si>
  <si>
    <t xml:space="preserve"> = current portion of long term debt + long term debt</t>
  </si>
  <si>
    <t>WACC Calculation</t>
  </si>
  <si>
    <t xml:space="preserve"> = Current Portion of Long-term Debt + Long-term debt</t>
  </si>
  <si>
    <t xml:space="preserve"> = common stock * Share price</t>
  </si>
  <si>
    <t xml:space="preserve"> = Total Share Outstanding * Share price</t>
  </si>
  <si>
    <t>Estimated using the weighted average coupon rate of outstanding debt securities, as Diamondback maintains an investment-grade credit profile and coupon rates are broadly representative of current borrowing costs.</t>
  </si>
  <si>
    <t>Debt ($M)</t>
  </si>
  <si>
    <t>Equity ($M)</t>
  </si>
  <si>
    <t># shares</t>
  </si>
  <si>
    <t>$/share</t>
  </si>
  <si>
    <t>RRR Calculation</t>
  </si>
  <si>
    <t>Common stock</t>
  </si>
  <si>
    <t>Accumulated depletion, depreciation, amortization and impairment</t>
  </si>
  <si>
    <t>DIAMONDBACK ENERGY (FANG)  —  FORECAST BALANCE SHEET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</si>
</sst>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_);[Red]\(#,##0\)"/>
    <numFmt numFmtId="165" formatCode="_(\$* #,##0.00_);_(\$* \(#,##0.00\);_(\$* \-??_);_(@_)"/>
    <numFmt numFmtId="166" formatCode="0.0%"/>
    <numFmt numFmtId="167" formatCode="_(\$* #,##0_);_(\$* \(#,##0\);_(\$* \-_);_(@_)"/>
    <numFmt numFmtId="168" formatCode="#,##0.00;[Red]\(#,##0.00\)"/>
    <numFmt numFmtId="169" formatCode="\$#,##0.00"/>
    <numFmt numFmtId="170" formatCode="0.00\x"/>
    <numFmt numFmtId="171" formatCode="_(* #,##0_);_(* \(#,##0\);_(* &quot;-&quot;??_);_(@_)"/>
  </numFmts>
  <fonts count="67"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indexed="8"/>
      <name val="Calibri"/>
      <family val="2"/>
    </font>
    <font>
      <sz val="11"/>
      <color indexed="8"/>
      <name val="Calibri"/>
      <family val="2"/>
      <charset val="1"/>
    </font>
    <font>
      <sz val="11"/>
      <color theme="1"/>
      <name val="Aptos Narrow"/>
      <family val="2"/>
      <scheme val="minor"/>
    </font>
    <font>
      <b/>
      <sz val="14"/>
      <color rgb="FFFFFFFF"/>
      <name val="Aptos Narrow"/>
      <family val="2"/>
    </font>
    <font>
      <b/>
      <sz val="10"/>
      <color rgb="FFFFFFFF"/>
      <name val="Aptos Narrow"/>
      <family val="2"/>
    </font>
    <font>
      <b/>
      <sz val="9"/>
      <color rgb="FFFFFFFF"/>
      <name val="Aptos Narrow"/>
      <family val="2"/>
    </font>
    <font>
      <b/>
      <sz val="11"/>
      <color rgb="FFFFFFFF"/>
      <name val="Aptos Narrow"/>
      <family val="2"/>
    </font>
    <font>
      <sz val="9"/>
      <color rgb="FF000000"/>
      <name val="Aptos Narrow"/>
      <family val="2"/>
    </font>
    <font>
      <b/>
      <sz val="9"/>
      <color rgb="FF000000"/>
      <name val="Aptos Narrow"/>
      <family val="2"/>
    </font>
    <font>
      <sz val="10"/>
      <color rgb="FF000000"/>
      <name val="Aptos Narrow"/>
      <family val="2"/>
    </font>
    <font>
      <sz val="10"/>
      <color theme="1"/>
      <name val="Aptos Narrow"/>
      <family val="2"/>
      <scheme val="minor"/>
    </font>
    <font>
      <b/>
      <sz val="10"/>
      <color rgb="FFFF0000"/>
      <name val="Times New Roman"/>
      <family val="1"/>
    </font>
    <font>
      <sz val="11"/>
      <color theme="1"/>
      <name val="SimSun"/>
    </font>
    <font>
      <sz val="10"/>
      <color rgb="FF333333"/>
      <name val="Times New Roman"/>
      <family val="1"/>
    </font>
    <font>
      <b/>
      <sz val="10"/>
      <color rgb="FF333333"/>
      <name val="Times New Roman"/>
      <family val="1"/>
    </font>
    <font>
      <b/>
      <sz val="11"/>
      <color rgb="FFFF0000"/>
      <name val="Aptos Narrow"/>
      <family val="2"/>
      <scheme val="minor"/>
    </font>
    <font>
      <b/>
      <i/>
      <sz val="11"/>
      <color rgb="FF000000"/>
      <name val="Calibri"/>
      <family val="2"/>
    </font>
    <font>
      <b/>
      <sz val="10"/>
      <color rgb="FFFFFFFF"/>
      <name val="Calibri"/>
      <family val="2"/>
    </font>
    <font>
      <sz val="9"/>
      <color rgb="FF000000"/>
      <name val="Calibri"/>
      <family val="2"/>
    </font>
    <font>
      <b/>
      <sz val="9"/>
      <color rgb="FFFFFFFF"/>
      <name val="Calibri"/>
      <family val="2"/>
    </font>
    <font>
      <b/>
      <sz val="9"/>
      <color rgb="FF000000"/>
      <name val="Calibri"/>
      <family val="2"/>
    </font>
    <font>
      <sz val="11"/>
      <color theme="1"/>
      <name val="Aptos Narrow"/>
      <family val="2"/>
    </font>
    <font>
      <b/>
      <sz val="10"/>
      <color theme="1"/>
      <name val="Calibri"/>
      <family val="2"/>
    </font>
    <font>
      <b/>
      <sz val="10"/>
      <color theme="1"/>
      <name val="Calibri"/>
      <family val="2"/>
    </font>
    <font>
      <sz val="9"/>
      <color rgb="FF000000"/>
      <name val="Calibri"/>
      <family val="2"/>
    </font>
    <font>
      <sz val="9"/>
      <color indexed="81"/>
      <name val="Tahoma"/>
      <family val="2"/>
    </font>
    <font>
      <b/>
      <sz val="9"/>
      <color indexed="81"/>
      <name val="Tahoma"/>
      <family val="2"/>
    </font>
    <font>
      <sz val="9"/>
      <color theme="1"/>
      <name val="Aptos Narrow"/>
      <family val="2"/>
      <scheme val="minor"/>
    </font>
    <font>
      <b/>
      <sz val="10"/>
      <color rgb="FFFFFFFF"/>
      <name val="Calibri"/>
      <family val="2"/>
    </font>
    <font>
      <b/>
      <sz val="9"/>
      <color rgb="FF000000"/>
      <name val="Calibri"/>
      <family val="2"/>
    </font>
    <font>
      <sz val="11"/>
      <color theme="1"/>
      <name val="Calibri"/>
      <family val="2"/>
    </font>
    <font>
      <b/>
      <sz val="11"/>
      <color theme="1"/>
      <name val="Calibri"/>
      <family val="2"/>
    </font>
    <font>
      <sz val="11"/>
      <color rgb="FF0000FF"/>
      <name val="Calibri"/>
      <family val="2"/>
    </font>
    <font>
      <sz val="11"/>
      <color theme="0"/>
      <name val="Calibri"/>
      <family val="2"/>
    </font>
    <font>
      <b/>
      <sz val="11"/>
      <color theme="0"/>
      <name val="Calibri"/>
      <family val="2"/>
    </font>
    <font>
      <sz val="11"/>
      <color rgb="FFA5A5A5"/>
      <name val="Calibri"/>
      <family val="2"/>
    </font>
    <font>
      <b/>
      <sz val="11"/>
      <color rgb="FF080808"/>
      <name val="Calibri"/>
      <family val="2"/>
    </font>
    <font>
      <sz val="11"/>
      <color rgb="FF080808"/>
      <name val="Calibri"/>
      <family val="2"/>
    </font>
    <font>
      <b/>
      <sz val="11"/>
      <color rgb="FFFFFFFF"/>
      <name val="Calibri"/>
      <family val="2"/>
    </font>
    <font>
      <i/>
      <sz val="9"/>
      <color rgb="FF080808"/>
      <name val="Calibri"/>
      <family val="2"/>
    </font>
    <font>
      <sz val="11"/>
      <color theme="0"/>
      <name val="Aptos Narrow"/>
      <family val="2"/>
      <scheme val="minor"/>
    </font>
    <font>
      <b/>
      <sz val="8"/>
      <color indexed="8"/>
      <name val="Arial"/>
      <family val="2"/>
    </font>
    <font>
      <sz val="10"/>
      <name val="Arial"/>
      <family val="2"/>
    </font>
    <font>
      <b/>
      <sz val="8"/>
      <color indexed="9"/>
      <name val="Verdana"/>
      <family val="2"/>
    </font>
    <font>
      <sz val="8"/>
      <color indexed="8"/>
      <name val="Arial"/>
      <family val="2"/>
    </font>
    <font>
      <sz val="8"/>
      <name val="Courier"/>
      <family val="3"/>
    </font>
    <font>
      <sz val="10"/>
      <name val="Arial"/>
      <family val="2"/>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u val="singleAccounting"/>
      <sz val="8"/>
      <color indexed="8"/>
      <name val="Arial"/>
      <family val="2"/>
    </font>
    <font>
      <vertAlign val="superscript"/>
      <sz val="8"/>
      <color indexed="8"/>
      <name val="Arial"/>
      <family val="2"/>
    </font>
    <font>
      <vertAlign val="subscript"/>
      <sz val="8"/>
      <color indexed="8"/>
      <name val="Arial"/>
      <family val="2"/>
    </font>
    <font>
      <i/>
      <sz val="8"/>
      <color indexed="8"/>
      <name val="Arial"/>
      <family val="2"/>
    </font>
    <font>
      <sz val="1"/>
      <color indexed="9"/>
      <name val="Symbol"/>
      <family val="1"/>
      <charset val="2"/>
    </font>
    <font>
      <sz val="10"/>
      <color indexed="8"/>
      <name val="Arial"/>
      <family val="2"/>
    </font>
    <font>
      <b/>
      <sz val="8"/>
      <color indexed="8"/>
      <name val="Verdana"/>
      <family val="2"/>
    </font>
    <font>
      <sz val="11"/>
      <color theme="1"/>
      <name val="Times New Roman"/>
      <family val="1"/>
    </font>
    <font>
      <b/>
      <sz val="11"/>
      <color theme="0"/>
      <name val="Times New Roman"/>
      <family val="1"/>
    </font>
    <font>
      <b/>
      <sz val="11"/>
      <color theme="1"/>
      <name val="Times New Roman"/>
      <family val="1"/>
    </font>
    <font>
      <b/>
      <sz val="11"/>
      <color indexed="8"/>
      <name val="Times New Roman"/>
      <family val="1"/>
    </font>
    <font>
      <sz val="11"/>
      <color indexed="8"/>
      <name val="Times New Roman"/>
      <family val="1"/>
    </font>
    <font>
      <b/>
      <u/>
      <sz val="11"/>
      <color indexed="8"/>
      <name val="Times New Roman"/>
      <family val="1"/>
    </font>
  </fonts>
  <fills count="37">
    <fill>
      <patternFill patternType="none"/>
    </fill>
    <fill>
      <patternFill patternType="gray125"/>
    </fill>
    <fill>
      <patternFill patternType="solid">
        <fgColor rgb="FF0070C0"/>
        <bgColor indexed="64"/>
      </patternFill>
    </fill>
    <fill>
      <patternFill patternType="solid">
        <fgColor theme="3" tint="0.89999084444715716"/>
        <bgColor indexed="64"/>
      </patternFill>
    </fill>
    <fill>
      <patternFill patternType="solid">
        <fgColor rgb="FF2E4057"/>
      </patternFill>
    </fill>
    <fill>
      <patternFill patternType="solid">
        <fgColor rgb="FFFFFFFF"/>
      </patternFill>
    </fill>
    <fill>
      <patternFill patternType="solid">
        <fgColor rgb="FFD6E4F0"/>
      </patternFill>
    </fill>
    <fill>
      <patternFill patternType="solid">
        <fgColor rgb="FFFEF0F0"/>
      </patternFill>
    </fill>
    <fill>
      <patternFill patternType="solid">
        <fgColor rgb="FFF2F3F4"/>
      </patternFill>
    </fill>
    <fill>
      <patternFill patternType="solid">
        <fgColor rgb="FFFDFEFE"/>
      </patternFill>
    </fill>
    <fill>
      <patternFill patternType="solid">
        <fgColor theme="5"/>
        <bgColor indexed="64"/>
      </patternFill>
    </fill>
    <fill>
      <patternFill patternType="solid">
        <fgColor rgb="FF002060"/>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FF"/>
        <bgColor indexed="64"/>
      </patternFill>
    </fill>
    <fill>
      <patternFill patternType="solid">
        <fgColor theme="1"/>
        <bgColor indexed="64"/>
      </patternFill>
    </fill>
    <fill>
      <patternFill patternType="solid">
        <fgColor rgb="FFD3D3D3"/>
        <bgColor indexed="64"/>
      </patternFill>
    </fill>
    <fill>
      <patternFill patternType="solid">
        <fgColor rgb="FFFFFFFF"/>
      </patternFill>
    </fill>
    <fill>
      <patternFill patternType="solid">
        <fgColor rgb="FFD6E4F0"/>
      </patternFill>
    </fill>
    <fill>
      <patternFill patternType="solid">
        <fgColor rgb="FFFEF0F0"/>
      </patternFill>
    </fill>
    <fill>
      <patternFill patternType="solid">
        <fgColor rgb="FFF8F9FA"/>
      </patternFill>
    </fill>
    <fill>
      <patternFill patternType="solid">
        <fgColor rgb="FFFFF9E7"/>
      </patternFill>
    </fill>
    <fill>
      <patternFill patternType="solid">
        <fgColor rgb="FFD5EAF5"/>
      </patternFill>
    </fill>
    <fill>
      <patternFill patternType="solid">
        <fgColor rgb="FFFDFEFE"/>
      </patternFill>
    </fill>
    <fill>
      <patternFill patternType="solid">
        <fgColor rgb="FFE8F8F5"/>
      </patternFill>
    </fill>
    <fill>
      <patternFill patternType="solid">
        <fgColor theme="0"/>
        <bgColor indexed="64"/>
      </patternFill>
    </fill>
    <fill>
      <patternFill patternType="solid">
        <fgColor rgb="FF336699"/>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theme="7"/>
        <bgColor indexed="64"/>
      </patternFill>
    </fill>
    <fill>
      <patternFill patternType="solid">
        <fgColor rgb="FFFFFFCC"/>
        <bgColor indexed="64"/>
      </patternFill>
    </fill>
    <fill>
      <patternFill patternType="solid">
        <fgColor theme="2"/>
        <bgColor indexed="64"/>
      </patternFill>
    </fill>
    <fill>
      <patternFill patternType="solid">
        <fgColor indexed="56"/>
        <bgColor indexed="64"/>
      </patternFill>
    </fill>
    <fill>
      <patternFill patternType="solid">
        <fgColor indexed="63"/>
        <bgColor indexed="64"/>
      </patternFill>
    </fill>
    <fill>
      <patternFill patternType="solid">
        <fgColor indexed="62"/>
        <bgColor indexed="64"/>
      </patternFill>
    </fill>
    <fill>
      <patternFill patternType="solid">
        <fgColor indexed="60"/>
        <bgColor indexed="64"/>
      </patternFill>
    </fill>
  </fills>
  <borders count="45">
    <border>
      <left/>
      <right/>
      <top/>
      <bottom/>
      <diagonal/>
    </border>
    <border>
      <left/>
      <right/>
      <top/>
      <bottom style="thin">
        <color indexed="64"/>
      </bottom>
      <diagonal/>
    </border>
    <border>
      <left style="thin">
        <color rgb="FFB2BABB"/>
      </left>
      <right style="thin">
        <color rgb="FFB2BABB"/>
      </right>
      <top style="thin">
        <color rgb="FFB2BABB"/>
      </top>
      <bottom style="thin">
        <color rgb="FFB2BABB"/>
      </bottom>
      <diagonal/>
    </border>
    <border>
      <left style="thin">
        <color rgb="FFB2BABB"/>
      </left>
      <right style="thin">
        <color rgb="FFB2BABB"/>
      </right>
      <top/>
      <bottom style="thin">
        <color rgb="FFB2BABB"/>
      </bottom>
      <diagonal/>
    </border>
    <border>
      <left/>
      <right/>
      <top style="thin">
        <color rgb="FFB2BABB"/>
      </top>
      <bottom style="thin">
        <color rgb="FFB2BABB"/>
      </bottom>
      <diagonal/>
    </border>
    <border>
      <left/>
      <right style="thin">
        <color rgb="FFB2BABB"/>
      </right>
      <top style="thin">
        <color rgb="FFB2BABB"/>
      </top>
      <bottom style="thin">
        <color rgb="FFB2BABB"/>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indexed="64"/>
      </bottom>
      <diagonal/>
    </border>
    <border>
      <left style="thin">
        <color rgb="FFCCCCCC"/>
      </left>
      <right style="thin">
        <color rgb="FFCCCCCC"/>
      </right>
      <top/>
      <bottom style="thin">
        <color rgb="FFCCCCCC"/>
      </bottom>
      <diagonal/>
    </border>
    <border>
      <left style="thin">
        <color rgb="FFCCCCCC"/>
      </left>
      <right/>
      <top style="thin">
        <color rgb="FFCCCCCC"/>
      </top>
      <bottom style="thin">
        <color indexed="64"/>
      </bottom>
      <diagonal/>
    </border>
    <border>
      <left style="thin">
        <color rgb="FFCCCCCC"/>
      </left>
      <right style="thin">
        <color rgb="FFCCCCCC"/>
      </right>
      <top style="thin">
        <color rgb="FFCCCCCC"/>
      </top>
      <bottom/>
      <diagonal/>
    </border>
    <border>
      <left/>
      <right/>
      <top/>
      <bottom style="medium">
        <color rgb="FFD0CECE"/>
      </bottom>
      <diagonal/>
    </border>
    <border>
      <left/>
      <right/>
      <top/>
      <bottom style="medium">
        <color rgb="FF000000"/>
      </bottom>
      <diagonal/>
    </border>
    <border>
      <left/>
      <right style="medium">
        <color rgb="FFE7E6E6"/>
      </right>
      <top/>
      <bottom style="medium">
        <color rgb="FFE7E6E6"/>
      </bottom>
      <diagonal/>
    </border>
    <border>
      <left/>
      <right/>
      <top/>
      <bottom style="dotted">
        <color rgb="FFBFBFBF"/>
      </bottom>
      <diagonal/>
    </border>
    <border>
      <left/>
      <right/>
      <top/>
      <bottom style="medium">
        <color rgb="FFE7E6E6"/>
      </bottom>
      <diagonal/>
    </border>
    <border>
      <left/>
      <right/>
      <top/>
      <bottom style="double">
        <color rgb="FF000000"/>
      </bottom>
      <diagonal/>
    </border>
    <border>
      <left/>
      <right style="medium">
        <color rgb="FFE7E6E6"/>
      </right>
      <top style="medium">
        <color rgb="FFE7E6E6"/>
      </top>
      <bottom style="medium">
        <color rgb="FFE7E6E6"/>
      </bottom>
      <diagonal/>
    </border>
    <border>
      <left/>
      <right style="medium">
        <color rgb="FFE7E6E6"/>
      </right>
      <top/>
      <bottom/>
      <diagonal/>
    </border>
    <border>
      <left/>
      <right style="medium">
        <color rgb="FFE7E6E6"/>
      </right>
      <top/>
      <bottom style="double">
        <color rgb="FF000000"/>
      </bottom>
      <diagonal/>
    </border>
    <border>
      <left/>
      <right style="medium">
        <color rgb="FFE7E6E6"/>
      </right>
      <top/>
      <bottom style="medium">
        <color rgb="FF000000"/>
      </bottom>
      <diagonal/>
    </border>
    <border>
      <left/>
      <right/>
      <top/>
      <bottom style="medium">
        <color rgb="FF8EAADB"/>
      </bottom>
      <diagonal/>
    </border>
    <border>
      <left/>
      <right style="medium">
        <color rgb="FFFFFFFF"/>
      </right>
      <top/>
      <bottom/>
      <diagonal/>
    </border>
    <border>
      <left/>
      <right/>
      <top/>
      <bottom style="medium">
        <color rgb="FFD9E2F3"/>
      </bottom>
      <diagonal/>
    </border>
    <border>
      <left style="medium">
        <color rgb="FFFFFFFF"/>
      </left>
      <right/>
      <top/>
      <bottom style="medium">
        <color rgb="FFD9E2F3"/>
      </bottom>
      <diagonal/>
    </border>
    <border>
      <left/>
      <right/>
      <top/>
      <bottom style="medium">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s>
  <cellStyleXfs count="22">
    <xf numFmtId="0" fontId="0" fillId="0" borderId="0"/>
    <xf numFmtId="0" fontId="4" fillId="0" borderId="0"/>
    <xf numFmtId="44" fontId="5" fillId="0" borderId="0"/>
    <xf numFmtId="9" fontId="5" fillId="0" borderId="0"/>
    <xf numFmtId="43" fontId="5" fillId="0" borderId="0" applyFont="0" applyFill="0" applyBorder="0" applyAlignment="0" applyProtection="0"/>
    <xf numFmtId="0" fontId="45" fillId="0" borderId="0">
      <alignment vertical="top"/>
    </xf>
    <xf numFmtId="0" fontId="49" fillId="0" borderId="0"/>
    <xf numFmtId="0" fontId="50" fillId="0" borderId="0" applyAlignment="0"/>
    <xf numFmtId="0" fontId="51" fillId="0" borderId="0" applyAlignment="0"/>
    <xf numFmtId="0" fontId="52" fillId="34" borderId="0" applyAlignment="0"/>
    <xf numFmtId="0" fontId="53" fillId="35" borderId="0" applyAlignment="0"/>
    <xf numFmtId="0" fontId="46" fillId="33" borderId="0" applyAlignment="0"/>
    <xf numFmtId="0" fontId="54" fillId="36" borderId="0" applyAlignment="0"/>
    <xf numFmtId="0" fontId="47" fillId="0" borderId="0" applyAlignment="0"/>
    <xf numFmtId="0" fontId="55" fillId="0" borderId="0" applyAlignment="0"/>
    <xf numFmtId="0" fontId="56" fillId="0" borderId="0" applyAlignment="0"/>
    <xf numFmtId="0" fontId="44" fillId="0" borderId="0" applyAlignment="0"/>
    <xf numFmtId="0" fontId="57" fillId="0" borderId="0" applyAlignment="0"/>
    <xf numFmtId="0" fontId="44" fillId="0" borderId="0" applyAlignment="0">
      <alignment wrapText="1"/>
    </xf>
    <xf numFmtId="0" fontId="58" fillId="0" borderId="0" applyAlignment="0"/>
    <xf numFmtId="0" fontId="59" fillId="0" borderId="0" applyAlignment="0"/>
    <xf numFmtId="0" fontId="60" fillId="0" borderId="0" applyAlignment="0"/>
  </cellStyleXfs>
  <cellXfs count="298">
    <xf numFmtId="0" fontId="0" fillId="0" borderId="0" xfId="0"/>
    <xf numFmtId="3" fontId="0" fillId="0" borderId="0" xfId="0" applyNumberFormat="1"/>
    <xf numFmtId="0" fontId="0" fillId="0" borderId="0" xfId="0" applyAlignment="1">
      <alignment vertical="center" wrapText="1"/>
    </xf>
    <xf numFmtId="0" fontId="10" fillId="5" borderId="2" xfId="0" applyFont="1" applyFill="1" applyBorder="1" applyAlignment="1">
      <alignment horizontal="left" vertical="center"/>
    </xf>
    <xf numFmtId="0" fontId="11" fillId="5" borderId="2" xfId="0" applyFont="1" applyFill="1" applyBorder="1" applyAlignment="1">
      <alignment horizontal="left" vertical="center"/>
    </xf>
    <xf numFmtId="0" fontId="10" fillId="5" borderId="2" xfId="0" applyFont="1" applyFill="1" applyBorder="1" applyAlignment="1">
      <alignment horizontal="center" vertical="center"/>
    </xf>
    <xf numFmtId="166" fontId="10" fillId="6" borderId="2" xfId="0" applyNumberFormat="1" applyFont="1" applyFill="1" applyBorder="1" applyAlignment="1">
      <alignment horizontal="center" vertical="center"/>
    </xf>
    <xf numFmtId="166" fontId="10" fillId="7" borderId="2" xfId="0" applyNumberFormat="1" applyFont="1" applyFill="1" applyBorder="1" applyAlignment="1">
      <alignment horizontal="center" vertical="center"/>
    </xf>
    <xf numFmtId="0" fontId="10" fillId="9" borderId="2" xfId="0" applyFont="1" applyFill="1" applyBorder="1" applyAlignment="1">
      <alignment horizontal="left" vertical="center"/>
    </xf>
    <xf numFmtId="0" fontId="11" fillId="9" borderId="2" xfId="0" applyFont="1" applyFill="1" applyBorder="1" applyAlignment="1">
      <alignment horizontal="left" vertical="center"/>
    </xf>
    <xf numFmtId="0" fontId="10" fillId="9" borderId="2" xfId="0" applyFont="1" applyFill="1" applyBorder="1" applyAlignment="1">
      <alignment horizontal="center" vertical="center"/>
    </xf>
    <xf numFmtId="4" fontId="10" fillId="6" borderId="2" xfId="0" applyNumberFormat="1" applyFont="1" applyFill="1" applyBorder="1" applyAlignment="1">
      <alignment horizontal="center" vertical="center"/>
    </xf>
    <xf numFmtId="4" fontId="10" fillId="7" borderId="2" xfId="0" applyNumberFormat="1" applyFont="1" applyFill="1" applyBorder="1" applyAlignment="1">
      <alignment horizontal="center" vertical="center"/>
    </xf>
    <xf numFmtId="3" fontId="10" fillId="6" borderId="2" xfId="0" applyNumberFormat="1" applyFont="1" applyFill="1" applyBorder="1" applyAlignment="1">
      <alignment horizontal="center" vertical="center"/>
    </xf>
    <xf numFmtId="3" fontId="3" fillId="0" borderId="0" xfId="0" applyNumberFormat="1" applyFont="1"/>
    <xf numFmtId="3" fontId="3" fillId="0" borderId="0" xfId="0" applyNumberFormat="1" applyFont="1" applyAlignment="1">
      <alignment horizontal="right"/>
    </xf>
    <xf numFmtId="165" fontId="3" fillId="0" borderId="0" xfId="0" applyNumberFormat="1" applyFont="1"/>
    <xf numFmtId="4" fontId="3" fillId="0" borderId="0" xfId="0" applyNumberFormat="1" applyFont="1"/>
    <xf numFmtId="44" fontId="3" fillId="0" borderId="0" xfId="2" applyFont="1"/>
    <xf numFmtId="0" fontId="7" fillId="2" borderId="2" xfId="0" applyFont="1" applyFill="1" applyBorder="1" applyAlignment="1">
      <alignment horizontal="center" vertical="center"/>
    </xf>
    <xf numFmtId="0" fontId="8" fillId="2" borderId="2" xfId="0" applyFont="1" applyFill="1" applyBorder="1" applyAlignment="1">
      <alignment horizontal="center" vertical="center"/>
    </xf>
    <xf numFmtId="0" fontId="12" fillId="8" borderId="2" xfId="0" applyFont="1" applyFill="1" applyBorder="1" applyAlignment="1">
      <alignment horizontal="left" vertical="center" wrapText="1"/>
    </xf>
    <xf numFmtId="0" fontId="13" fillId="0" borderId="0" xfId="0" applyFont="1"/>
    <xf numFmtId="0" fontId="8" fillId="10" borderId="2" xfId="0" applyFont="1" applyFill="1" applyBorder="1" applyAlignment="1">
      <alignment horizontal="center" vertical="center"/>
    </xf>
    <xf numFmtId="0" fontId="8" fillId="11" borderId="2" xfId="0" applyFont="1" applyFill="1" applyBorder="1" applyAlignment="1">
      <alignment horizontal="center" vertical="center"/>
    </xf>
    <xf numFmtId="0" fontId="8" fillId="12" borderId="2" xfId="0" applyFont="1" applyFill="1" applyBorder="1" applyAlignment="1">
      <alignment horizontal="center" vertical="center"/>
    </xf>
    <xf numFmtId="166" fontId="10" fillId="13" borderId="2" xfId="0" applyNumberFormat="1" applyFont="1" applyFill="1" applyBorder="1" applyAlignment="1">
      <alignment horizontal="center" vertical="center"/>
    </xf>
    <xf numFmtId="4" fontId="10" fillId="13" borderId="2" xfId="0" applyNumberFormat="1" applyFont="1" applyFill="1" applyBorder="1" applyAlignment="1">
      <alignment horizontal="center" vertical="center"/>
    </xf>
    <xf numFmtId="166" fontId="10" fillId="14" borderId="2" xfId="0" applyNumberFormat="1" applyFont="1" applyFill="1" applyBorder="1" applyAlignment="1">
      <alignment horizontal="center" vertical="center"/>
    </xf>
    <xf numFmtId="4" fontId="0" fillId="0" borderId="0" xfId="0" applyNumberFormat="1"/>
    <xf numFmtId="4" fontId="10" fillId="14" borderId="2" xfId="0" applyNumberFormat="1" applyFont="1" applyFill="1" applyBorder="1" applyAlignment="1">
      <alignment horizontal="center" vertical="center"/>
    </xf>
    <xf numFmtId="9" fontId="0" fillId="0" borderId="0" xfId="3" applyFont="1"/>
    <xf numFmtId="10" fontId="0" fillId="0" borderId="0" xfId="3" applyNumberFormat="1" applyFont="1"/>
    <xf numFmtId="10" fontId="0" fillId="0" borderId="0" xfId="0" applyNumberFormat="1"/>
    <xf numFmtId="0" fontId="14" fillId="15" borderId="6" xfId="0" applyFont="1" applyFill="1" applyBorder="1" applyAlignment="1">
      <alignment vertical="center"/>
    </xf>
    <xf numFmtId="0" fontId="15" fillId="0" borderId="6" xfId="0" applyFont="1" applyBorder="1" applyAlignment="1">
      <alignment wrapText="1"/>
    </xf>
    <xf numFmtId="0" fontId="15" fillId="15" borderId="6" xfId="0" applyFont="1" applyFill="1" applyBorder="1" applyAlignment="1">
      <alignment wrapText="1"/>
    </xf>
    <xf numFmtId="0" fontId="16" fillId="15" borderId="6" xfId="0" applyFont="1" applyFill="1" applyBorder="1" applyAlignment="1">
      <alignment wrapText="1"/>
    </xf>
    <xf numFmtId="0" fontId="17" fillId="15" borderId="6" xfId="0" applyFont="1" applyFill="1" applyBorder="1" applyAlignment="1">
      <alignment wrapText="1"/>
    </xf>
    <xf numFmtId="0" fontId="16" fillId="15" borderId="6" xfId="0" applyFont="1" applyFill="1" applyBorder="1" applyAlignment="1">
      <alignment horizontal="left" wrapText="1" indent="2"/>
    </xf>
    <xf numFmtId="14" fontId="0" fillId="0" borderId="0" xfId="0" applyNumberFormat="1" applyAlignment="1">
      <alignment horizontal="left"/>
    </xf>
    <xf numFmtId="10" fontId="18" fillId="0" borderId="0" xfId="0" applyNumberFormat="1" applyFont="1"/>
    <xf numFmtId="0" fontId="0" fillId="16" borderId="0" xfId="0" applyFill="1"/>
    <xf numFmtId="40" fontId="0" fillId="0" borderId="0" xfId="0" applyNumberFormat="1"/>
    <xf numFmtId="0" fontId="19" fillId="17" borderId="7" xfId="0" applyFont="1" applyFill="1" applyBorder="1" applyAlignment="1">
      <alignment horizontal="left" vertical="top" wrapText="1"/>
    </xf>
    <xf numFmtId="0" fontId="19" fillId="17" borderId="7" xfId="0" applyFont="1" applyFill="1" applyBorder="1" applyAlignment="1">
      <alignment horizontal="right" vertical="top" wrapText="1"/>
    </xf>
    <xf numFmtId="0" fontId="2" fillId="0" borderId="0" xfId="0" applyFont="1" applyAlignment="1">
      <alignment horizontal="left" vertical="top"/>
    </xf>
    <xf numFmtId="0" fontId="0" fillId="0" borderId="0" xfId="0" applyAlignment="1">
      <alignment horizontal="left" vertical="top"/>
    </xf>
    <xf numFmtId="168" fontId="0" fillId="0" borderId="0" xfId="0" applyNumberFormat="1" applyAlignment="1">
      <alignment horizontal="right" vertical="top" wrapText="1"/>
    </xf>
    <xf numFmtId="0" fontId="0" fillId="0" borderId="6" xfId="0" applyBorder="1" applyAlignment="1">
      <alignment horizontal="left" vertical="top"/>
    </xf>
    <xf numFmtId="10" fontId="0" fillId="0" borderId="6" xfId="0" applyNumberFormat="1" applyBorder="1"/>
    <xf numFmtId="0" fontId="21" fillId="18" borderId="8" xfId="0" applyFont="1" applyFill="1" applyBorder="1" applyAlignment="1">
      <alignment horizontal="left" vertical="center"/>
    </xf>
    <xf numFmtId="3" fontId="21" fillId="19" borderId="8" xfId="0" applyNumberFormat="1" applyFont="1" applyFill="1" applyBorder="1" applyAlignment="1">
      <alignment horizontal="right" vertical="center"/>
    </xf>
    <xf numFmtId="3" fontId="21" fillId="20" borderId="8" xfId="0" applyNumberFormat="1" applyFont="1" applyFill="1" applyBorder="1" applyAlignment="1">
      <alignment horizontal="right" vertical="center"/>
    </xf>
    <xf numFmtId="0" fontId="21" fillId="21" borderId="8" xfId="0" applyFont="1" applyFill="1" applyBorder="1" applyAlignment="1">
      <alignment horizontal="left" vertical="center"/>
    </xf>
    <xf numFmtId="0" fontId="23" fillId="21" borderId="8" xfId="0" applyFont="1" applyFill="1" applyBorder="1" applyAlignment="1">
      <alignment horizontal="left" vertical="center"/>
    </xf>
    <xf numFmtId="0" fontId="23" fillId="22" borderId="8" xfId="0" applyFont="1" applyFill="1" applyBorder="1" applyAlignment="1">
      <alignment horizontal="left" vertical="center"/>
    </xf>
    <xf numFmtId="0" fontId="21" fillId="18" borderId="8" xfId="0" applyFont="1" applyFill="1" applyBorder="1" applyAlignment="1">
      <alignment horizontal="right" vertical="center"/>
    </xf>
    <xf numFmtId="0" fontId="23" fillId="18" borderId="8" xfId="0" applyFont="1" applyFill="1" applyBorder="1" applyAlignment="1">
      <alignment horizontal="left" vertical="center"/>
    </xf>
    <xf numFmtId="0" fontId="21" fillId="0" borderId="8" xfId="0" applyFont="1" applyBorder="1" applyAlignment="1">
      <alignment horizontal="right" vertical="center"/>
    </xf>
    <xf numFmtId="0" fontId="23" fillId="23" borderId="8" xfId="0" applyFont="1" applyFill="1" applyBorder="1" applyAlignment="1">
      <alignment horizontal="left" vertical="center"/>
    </xf>
    <xf numFmtId="169" fontId="21" fillId="19" borderId="8" xfId="0" applyNumberFormat="1" applyFont="1" applyFill="1" applyBorder="1" applyAlignment="1">
      <alignment horizontal="right" vertical="center"/>
    </xf>
    <xf numFmtId="169" fontId="21" fillId="20" borderId="8" xfId="0" applyNumberFormat="1" applyFont="1" applyFill="1" applyBorder="1" applyAlignment="1">
      <alignment horizontal="right" vertical="center"/>
    </xf>
    <xf numFmtId="166" fontId="21" fillId="19" borderId="8" xfId="0" applyNumberFormat="1" applyFont="1" applyFill="1" applyBorder="1" applyAlignment="1">
      <alignment horizontal="right" vertical="center"/>
    </xf>
    <xf numFmtId="166" fontId="21" fillId="20" borderId="8" xfId="0" applyNumberFormat="1" applyFont="1" applyFill="1" applyBorder="1" applyAlignment="1">
      <alignment horizontal="right" vertical="center"/>
    </xf>
    <xf numFmtId="0" fontId="23" fillId="24" borderId="8" xfId="0" applyFont="1" applyFill="1" applyBorder="1" applyAlignment="1">
      <alignment horizontal="left" vertical="center"/>
    </xf>
    <xf numFmtId="3" fontId="21" fillId="25" borderId="8" xfId="0" applyNumberFormat="1" applyFont="1" applyFill="1" applyBorder="1" applyAlignment="1">
      <alignment horizontal="right" vertical="center"/>
    </xf>
    <xf numFmtId="0" fontId="0" fillId="26" borderId="0" xfId="0" applyFill="1"/>
    <xf numFmtId="0" fontId="21" fillId="26" borderId="8" xfId="0" applyFont="1" applyFill="1" applyBorder="1" applyAlignment="1">
      <alignment horizontal="left" vertical="center"/>
    </xf>
    <xf numFmtId="0" fontId="0" fillId="26" borderId="9" xfId="0" applyFill="1" applyBorder="1"/>
    <xf numFmtId="0" fontId="0" fillId="26" borderId="10" xfId="0" applyFill="1" applyBorder="1"/>
    <xf numFmtId="0" fontId="25" fillId="26" borderId="14" xfId="0" applyFont="1" applyFill="1" applyBorder="1" applyAlignment="1">
      <alignment vertical="center"/>
    </xf>
    <xf numFmtId="0" fontId="26" fillId="26" borderId="12" xfId="0" applyFont="1" applyFill="1" applyBorder="1" applyAlignment="1">
      <alignment vertical="center"/>
    </xf>
    <xf numFmtId="0" fontId="26" fillId="26" borderId="13" xfId="0" applyFont="1" applyFill="1" applyBorder="1" applyAlignment="1">
      <alignment vertical="center"/>
    </xf>
    <xf numFmtId="0" fontId="26" fillId="26" borderId="16" xfId="0" applyFont="1" applyFill="1" applyBorder="1" applyAlignment="1">
      <alignment vertical="center"/>
    </xf>
    <xf numFmtId="0" fontId="21" fillId="18" borderId="15" xfId="0" applyFont="1" applyFill="1" applyBorder="1" applyAlignment="1">
      <alignment horizontal="left" vertical="center" indent="2"/>
    </xf>
    <xf numFmtId="0" fontId="21" fillId="21" borderId="8" xfId="0" applyFont="1" applyFill="1" applyBorder="1" applyAlignment="1">
      <alignment horizontal="left" vertical="center" indent="2"/>
    </xf>
    <xf numFmtId="0" fontId="21" fillId="18" borderId="8" xfId="0" applyFont="1" applyFill="1" applyBorder="1" applyAlignment="1">
      <alignment horizontal="left" vertical="center" indent="2"/>
    </xf>
    <xf numFmtId="0" fontId="22" fillId="2" borderId="8" xfId="0" applyFont="1" applyFill="1" applyBorder="1" applyAlignment="1">
      <alignment horizontal="center" vertical="center"/>
    </xf>
    <xf numFmtId="0" fontId="22" fillId="10" borderId="8" xfId="0" applyFont="1" applyFill="1" applyBorder="1" applyAlignment="1">
      <alignment horizontal="center" vertical="center"/>
    </xf>
    <xf numFmtId="0" fontId="22" fillId="11" borderId="8" xfId="0" applyFont="1" applyFill="1" applyBorder="1" applyAlignment="1">
      <alignment horizontal="center" vertical="center"/>
    </xf>
    <xf numFmtId="0" fontId="22" fillId="12" borderId="8" xfId="0" applyFont="1" applyFill="1" applyBorder="1" applyAlignment="1">
      <alignment horizontal="center" vertical="center"/>
    </xf>
    <xf numFmtId="3" fontId="21" fillId="13" borderId="8" xfId="0" applyNumberFormat="1" applyFont="1" applyFill="1" applyBorder="1" applyAlignment="1">
      <alignment horizontal="right" vertical="center"/>
    </xf>
    <xf numFmtId="0" fontId="27" fillId="18" borderId="15" xfId="0" applyFont="1" applyFill="1" applyBorder="1" applyAlignment="1">
      <alignment horizontal="left" vertical="center" indent="2"/>
    </xf>
    <xf numFmtId="0" fontId="27" fillId="21" borderId="8" xfId="0" applyFont="1" applyFill="1" applyBorder="1" applyAlignment="1">
      <alignment horizontal="left" vertical="center" indent="2"/>
    </xf>
    <xf numFmtId="0" fontId="27" fillId="18" borderId="8" xfId="0" applyFont="1" applyFill="1" applyBorder="1" applyAlignment="1">
      <alignment horizontal="left" vertical="center" indent="2"/>
    </xf>
    <xf numFmtId="0" fontId="27" fillId="18" borderId="8" xfId="0" applyFont="1" applyFill="1" applyBorder="1" applyAlignment="1">
      <alignment horizontal="left" vertical="center"/>
    </xf>
    <xf numFmtId="3" fontId="21" fillId="14" borderId="8" xfId="0" applyNumberFormat="1" applyFont="1" applyFill="1" applyBorder="1" applyAlignment="1">
      <alignment horizontal="right" vertical="center"/>
    </xf>
    <xf numFmtId="0" fontId="26" fillId="26" borderId="14" xfId="0" applyFont="1" applyFill="1" applyBorder="1" applyAlignment="1">
      <alignment vertical="center"/>
    </xf>
    <xf numFmtId="0" fontId="27" fillId="21" borderId="8" xfId="0" applyFont="1" applyFill="1" applyBorder="1" applyAlignment="1">
      <alignment horizontal="left" vertical="center"/>
    </xf>
    <xf numFmtId="10" fontId="30" fillId="0" borderId="0" xfId="3" applyNumberFormat="1" applyFont="1"/>
    <xf numFmtId="10" fontId="30" fillId="0" borderId="0" xfId="0" applyNumberFormat="1" applyFont="1"/>
    <xf numFmtId="0" fontId="27" fillId="18" borderId="11" xfId="0" applyFont="1" applyFill="1" applyBorder="1" applyAlignment="1">
      <alignment horizontal="left" vertical="center" indent="2"/>
    </xf>
    <xf numFmtId="0" fontId="27" fillId="21" borderId="15" xfId="0" applyFont="1" applyFill="1" applyBorder="1" applyAlignment="1">
      <alignment horizontal="left" vertical="center" indent="2"/>
    </xf>
    <xf numFmtId="10" fontId="21" fillId="26" borderId="8" xfId="0" applyNumberFormat="1" applyFont="1" applyFill="1" applyBorder="1" applyAlignment="1">
      <alignment horizontal="right" vertical="center"/>
    </xf>
    <xf numFmtId="0" fontId="27" fillId="26" borderId="11" xfId="0" applyFont="1" applyFill="1" applyBorder="1" applyAlignment="1">
      <alignment horizontal="left" vertical="center" indent="2"/>
    </xf>
    <xf numFmtId="10" fontId="21" fillId="26" borderId="11" xfId="0" applyNumberFormat="1" applyFont="1" applyFill="1" applyBorder="1" applyAlignment="1">
      <alignment horizontal="right" vertical="center"/>
    </xf>
    <xf numFmtId="169" fontId="21" fillId="13" borderId="8" xfId="0" applyNumberFormat="1" applyFont="1" applyFill="1" applyBorder="1" applyAlignment="1">
      <alignment horizontal="right" vertical="center"/>
    </xf>
    <xf numFmtId="166" fontId="21" fillId="13" borderId="8" xfId="0" applyNumberFormat="1" applyFont="1" applyFill="1" applyBorder="1" applyAlignment="1">
      <alignment horizontal="right" vertical="center"/>
    </xf>
    <xf numFmtId="169" fontId="21" fillId="14" borderId="8" xfId="0" applyNumberFormat="1" applyFont="1" applyFill="1" applyBorder="1" applyAlignment="1">
      <alignment horizontal="right" vertical="center"/>
    </xf>
    <xf numFmtId="166" fontId="21" fillId="14" borderId="8" xfId="0" applyNumberFormat="1" applyFont="1" applyFill="1" applyBorder="1" applyAlignment="1">
      <alignment horizontal="right" vertical="center"/>
    </xf>
    <xf numFmtId="0" fontId="32" fillId="18" borderId="8" xfId="0" applyFont="1" applyFill="1" applyBorder="1" applyAlignment="1">
      <alignment horizontal="left" vertical="center"/>
    </xf>
    <xf numFmtId="0" fontId="23" fillId="26" borderId="17" xfId="0" applyFont="1" applyFill="1" applyBorder="1" applyAlignment="1">
      <alignment horizontal="left" vertical="center"/>
    </xf>
    <xf numFmtId="3" fontId="21" fillId="26" borderId="12" xfId="0" applyNumberFormat="1" applyFont="1" applyFill="1" applyBorder="1" applyAlignment="1">
      <alignment horizontal="right" vertical="center"/>
    </xf>
    <xf numFmtId="3" fontId="21" fillId="26" borderId="13" xfId="0" applyNumberFormat="1" applyFont="1" applyFill="1" applyBorder="1" applyAlignment="1">
      <alignment horizontal="right" vertical="center"/>
    </xf>
    <xf numFmtId="10" fontId="21" fillId="0" borderId="8" xfId="0" applyNumberFormat="1" applyFont="1" applyBorder="1" applyAlignment="1">
      <alignment horizontal="right" vertical="center"/>
    </xf>
    <xf numFmtId="0" fontId="33" fillId="0" borderId="0" xfId="0" applyFont="1" applyAlignment="1">
      <alignment wrapText="1"/>
    </xf>
    <xf numFmtId="0" fontId="34" fillId="0" borderId="0" xfId="0" applyFont="1" applyAlignment="1">
      <alignment wrapText="1"/>
    </xf>
    <xf numFmtId="3" fontId="35" fillId="0" borderId="19" xfId="0" applyNumberFormat="1" applyFont="1" applyBorder="1" applyAlignment="1">
      <alignment horizontal="right" wrapText="1"/>
    </xf>
    <xf numFmtId="0" fontId="33" fillId="0" borderId="19" xfId="0" applyFont="1" applyBorder="1" applyAlignment="1">
      <alignment wrapText="1"/>
    </xf>
    <xf numFmtId="0" fontId="36" fillId="2" borderId="0" xfId="0" applyFont="1" applyFill="1" applyAlignment="1">
      <alignment wrapText="1"/>
    </xf>
    <xf numFmtId="0" fontId="37" fillId="2" borderId="0" xfId="0" applyFont="1" applyFill="1" applyAlignment="1">
      <alignment wrapText="1"/>
    </xf>
    <xf numFmtId="0" fontId="33" fillId="0" borderId="21" xfId="0" applyFont="1" applyBorder="1" applyAlignment="1">
      <alignment wrapText="1"/>
    </xf>
    <xf numFmtId="0" fontId="33" fillId="0" borderId="21" xfId="0" applyFont="1" applyBorder="1" applyAlignment="1">
      <alignment vertical="center"/>
    </xf>
    <xf numFmtId="0" fontId="33" fillId="0" borderId="22" xfId="0" applyFont="1" applyBorder="1" applyAlignment="1">
      <alignment wrapText="1"/>
    </xf>
    <xf numFmtId="0" fontId="38" fillId="0" borderId="23" xfId="0" applyFont="1" applyBorder="1" applyAlignment="1">
      <alignment horizontal="center" vertical="center" wrapText="1"/>
    </xf>
    <xf numFmtId="0" fontId="33" fillId="0" borderId="23" xfId="0" applyFont="1" applyBorder="1" applyAlignment="1">
      <alignment wrapText="1"/>
    </xf>
    <xf numFmtId="0" fontId="39" fillId="0" borderId="23" xfId="0" applyFont="1" applyBorder="1" applyAlignment="1">
      <alignment vertical="center"/>
    </xf>
    <xf numFmtId="0" fontId="38" fillId="0" borderId="0" xfId="0" applyFont="1" applyAlignment="1">
      <alignment horizontal="center" vertical="center" wrapText="1"/>
    </xf>
    <xf numFmtId="0" fontId="40" fillId="0" borderId="0" xfId="0" applyFont="1" applyAlignment="1">
      <alignment wrapText="1"/>
    </xf>
    <xf numFmtId="0" fontId="33" fillId="0" borderId="18" xfId="0" applyFont="1" applyBorder="1" applyAlignment="1">
      <alignment horizontal="right" wrapText="1"/>
    </xf>
    <xf numFmtId="0" fontId="38" fillId="0" borderId="25" xfId="0" applyFont="1" applyBorder="1" applyAlignment="1">
      <alignment horizontal="center" vertical="center" wrapText="1"/>
    </xf>
    <xf numFmtId="0" fontId="38" fillId="0" borderId="26" xfId="0" applyFont="1" applyBorder="1" applyAlignment="1">
      <alignment horizontal="center" vertical="center" wrapText="1"/>
    </xf>
    <xf numFmtId="0" fontId="39" fillId="0" borderId="23" xfId="0" applyFont="1" applyBorder="1" applyAlignment="1">
      <alignment wrapText="1"/>
    </xf>
    <xf numFmtId="0" fontId="38" fillId="0" borderId="27" xfId="0" applyFont="1" applyBorder="1" applyAlignment="1">
      <alignment horizontal="center" vertical="center" wrapText="1"/>
    </xf>
    <xf numFmtId="0" fontId="40" fillId="0" borderId="19" xfId="0" applyFont="1" applyBorder="1" applyAlignment="1">
      <alignment wrapText="1"/>
    </xf>
    <xf numFmtId="0" fontId="40" fillId="0" borderId="0" xfId="0" applyFont="1" applyAlignment="1">
      <alignment vertical="center"/>
    </xf>
    <xf numFmtId="0" fontId="39" fillId="0" borderId="0" xfId="0" applyFont="1" applyAlignment="1">
      <alignment wrapText="1"/>
    </xf>
    <xf numFmtId="0" fontId="38" fillId="0" borderId="29" xfId="0" applyFont="1" applyBorder="1" applyAlignment="1">
      <alignment horizontal="center" vertical="center" wrapText="1"/>
    </xf>
    <xf numFmtId="0" fontId="42" fillId="0" borderId="0" xfId="0" applyFont="1" applyAlignment="1">
      <alignment vertical="center"/>
    </xf>
    <xf numFmtId="0" fontId="33" fillId="27" borderId="29" xfId="0" applyFont="1" applyFill="1" applyBorder="1" applyAlignment="1">
      <alignment wrapText="1"/>
    </xf>
    <xf numFmtId="0" fontId="33" fillId="27" borderId="0" xfId="0" applyFont="1" applyFill="1" applyAlignment="1">
      <alignment vertical="center" wrapText="1"/>
    </xf>
    <xf numFmtId="0" fontId="37" fillId="27" borderId="0" xfId="0" applyFont="1" applyFill="1" applyAlignment="1">
      <alignment vertical="center" wrapText="1"/>
    </xf>
    <xf numFmtId="0" fontId="41" fillId="10" borderId="28" xfId="0" applyFont="1" applyFill="1" applyBorder="1" applyAlignment="1">
      <alignment horizontal="center" wrapText="1"/>
    </xf>
    <xf numFmtId="0" fontId="41" fillId="28" borderId="28" xfId="0" applyFont="1" applyFill="1" applyBorder="1" applyAlignment="1">
      <alignment horizontal="center" wrapText="1"/>
    </xf>
    <xf numFmtId="0" fontId="41" fillId="12" borderId="28" xfId="0" applyFont="1" applyFill="1" applyBorder="1" applyAlignment="1">
      <alignment horizontal="center" wrapText="1"/>
    </xf>
    <xf numFmtId="3" fontId="33" fillId="29" borderId="20" xfId="0" applyNumberFormat="1" applyFont="1" applyFill="1" applyBorder="1" applyAlignment="1">
      <alignment horizontal="right" wrapText="1"/>
    </xf>
    <xf numFmtId="3" fontId="33" fillId="29" borderId="27" xfId="0" applyNumberFormat="1" applyFont="1" applyFill="1" applyBorder="1" applyAlignment="1">
      <alignment horizontal="right" wrapText="1"/>
    </xf>
    <xf numFmtId="3" fontId="33" fillId="29" borderId="26" xfId="0" applyNumberFormat="1" applyFont="1" applyFill="1" applyBorder="1" applyAlignment="1">
      <alignment horizontal="right" wrapText="1"/>
    </xf>
    <xf numFmtId="3" fontId="33" fillId="13" borderId="20" xfId="0" applyNumberFormat="1" applyFont="1" applyFill="1" applyBorder="1" applyAlignment="1">
      <alignment horizontal="right" wrapText="1"/>
    </xf>
    <xf numFmtId="3" fontId="33" fillId="13" borderId="27" xfId="0" applyNumberFormat="1" applyFont="1" applyFill="1" applyBorder="1" applyAlignment="1">
      <alignment horizontal="right" wrapText="1"/>
    </xf>
    <xf numFmtId="3" fontId="33" fillId="13" borderId="26" xfId="0" applyNumberFormat="1" applyFont="1" applyFill="1" applyBorder="1" applyAlignment="1">
      <alignment horizontal="right" wrapText="1"/>
    </xf>
    <xf numFmtId="3" fontId="33" fillId="14" borderId="20" xfId="0" applyNumberFormat="1" applyFont="1" applyFill="1" applyBorder="1" applyAlignment="1">
      <alignment horizontal="right" wrapText="1"/>
    </xf>
    <xf numFmtId="3" fontId="33" fillId="14" borderId="27" xfId="0" applyNumberFormat="1" applyFont="1" applyFill="1" applyBorder="1" applyAlignment="1">
      <alignment horizontal="right" wrapText="1"/>
    </xf>
    <xf numFmtId="3" fontId="33" fillId="14" borderId="26" xfId="0" applyNumberFormat="1" applyFont="1" applyFill="1" applyBorder="1" applyAlignment="1">
      <alignment horizontal="right" wrapText="1"/>
    </xf>
    <xf numFmtId="10" fontId="33" fillId="29" borderId="24" xfId="0" applyNumberFormat="1" applyFont="1" applyFill="1" applyBorder="1" applyAlignment="1">
      <alignment horizontal="right" wrapText="1"/>
    </xf>
    <xf numFmtId="10" fontId="33" fillId="13" borderId="24" xfId="0" applyNumberFormat="1" applyFont="1" applyFill="1" applyBorder="1" applyAlignment="1">
      <alignment horizontal="right" wrapText="1"/>
    </xf>
    <xf numFmtId="10" fontId="33" fillId="14" borderId="24" xfId="0" applyNumberFormat="1" applyFont="1" applyFill="1" applyBorder="1" applyAlignment="1">
      <alignment horizontal="right" wrapText="1"/>
    </xf>
    <xf numFmtId="2" fontId="33" fillId="29" borderId="18" xfId="0" applyNumberFormat="1" applyFont="1" applyFill="1" applyBorder="1" applyAlignment="1">
      <alignment horizontal="right" wrapText="1"/>
    </xf>
    <xf numFmtId="3" fontId="34" fillId="29" borderId="23" xfId="0" applyNumberFormat="1" applyFont="1" applyFill="1" applyBorder="1" applyAlignment="1">
      <alignment horizontal="right" wrapText="1"/>
    </xf>
    <xf numFmtId="2" fontId="33" fillId="13" borderId="18" xfId="0" applyNumberFormat="1" applyFont="1" applyFill="1" applyBorder="1" applyAlignment="1">
      <alignment horizontal="right" wrapText="1"/>
    </xf>
    <xf numFmtId="3" fontId="34" fillId="14" borderId="23" xfId="0" applyNumberFormat="1" applyFont="1" applyFill="1" applyBorder="1" applyAlignment="1">
      <alignment horizontal="right" wrapText="1"/>
    </xf>
    <xf numFmtId="3" fontId="34" fillId="13" borderId="23" xfId="0" applyNumberFormat="1" applyFont="1" applyFill="1" applyBorder="1" applyAlignment="1">
      <alignment horizontal="right" wrapText="1"/>
    </xf>
    <xf numFmtId="2" fontId="33" fillId="14" borderId="18" xfId="0" applyNumberFormat="1" applyFont="1" applyFill="1" applyBorder="1" applyAlignment="1">
      <alignment horizontal="right" wrapText="1"/>
    </xf>
    <xf numFmtId="0" fontId="37" fillId="10" borderId="22" xfId="0" applyFont="1" applyFill="1" applyBorder="1" applyAlignment="1">
      <alignment horizontal="center" wrapText="1"/>
    </xf>
    <xf numFmtId="0" fontId="37" fillId="2" borderId="22" xfId="0" applyFont="1" applyFill="1" applyBorder="1" applyAlignment="1">
      <alignment horizontal="center" wrapText="1"/>
    </xf>
    <xf numFmtId="0" fontId="37" fillId="12" borderId="22" xfId="0" applyFont="1" applyFill="1" applyBorder="1" applyAlignment="1">
      <alignment horizontal="center" wrapText="1"/>
    </xf>
    <xf numFmtId="10" fontId="35" fillId="29" borderId="20" xfId="0" applyNumberFormat="1" applyFont="1" applyFill="1" applyBorder="1" applyAlignment="1">
      <alignment horizontal="right" wrapText="1"/>
    </xf>
    <xf numFmtId="2" fontId="33" fillId="29" borderId="20" xfId="0" applyNumberFormat="1" applyFont="1" applyFill="1" applyBorder="1" applyAlignment="1">
      <alignment horizontal="right" wrapText="1"/>
    </xf>
    <xf numFmtId="3" fontId="33" fillId="29" borderId="18" xfId="0" applyNumberFormat="1" applyFont="1" applyFill="1" applyBorder="1" applyAlignment="1">
      <alignment horizontal="right" wrapText="1"/>
    </xf>
    <xf numFmtId="3" fontId="33" fillId="29" borderId="19" xfId="0" applyNumberFormat="1" applyFont="1" applyFill="1" applyBorder="1" applyAlignment="1">
      <alignment horizontal="right" wrapText="1"/>
    </xf>
    <xf numFmtId="10" fontId="35" fillId="13" borderId="20" xfId="0" applyNumberFormat="1" applyFont="1" applyFill="1" applyBorder="1" applyAlignment="1">
      <alignment horizontal="right" wrapText="1"/>
    </xf>
    <xf numFmtId="2" fontId="33" fillId="13" borderId="20" xfId="0" applyNumberFormat="1" applyFont="1" applyFill="1" applyBorder="1" applyAlignment="1">
      <alignment horizontal="right" wrapText="1"/>
    </xf>
    <xf numFmtId="3" fontId="33" fillId="13" borderId="18" xfId="0" applyNumberFormat="1" applyFont="1" applyFill="1" applyBorder="1" applyAlignment="1">
      <alignment horizontal="right" wrapText="1"/>
    </xf>
    <xf numFmtId="3" fontId="33" fillId="13" borderId="19" xfId="0" applyNumberFormat="1" applyFont="1" applyFill="1" applyBorder="1" applyAlignment="1">
      <alignment horizontal="right" wrapText="1"/>
    </xf>
    <xf numFmtId="10" fontId="35" fillId="14" borderId="20" xfId="0" applyNumberFormat="1" applyFont="1" applyFill="1" applyBorder="1" applyAlignment="1">
      <alignment horizontal="right" wrapText="1"/>
    </xf>
    <xf numFmtId="2" fontId="33" fillId="14" borderId="20" xfId="0" applyNumberFormat="1" applyFont="1" applyFill="1" applyBorder="1" applyAlignment="1">
      <alignment horizontal="right" wrapText="1"/>
    </xf>
    <xf numFmtId="3" fontId="33" fillId="14" borderId="18" xfId="0" applyNumberFormat="1" applyFont="1" applyFill="1" applyBorder="1" applyAlignment="1">
      <alignment horizontal="right" wrapText="1"/>
    </xf>
    <xf numFmtId="3" fontId="33" fillId="14" borderId="19" xfId="0" applyNumberFormat="1" applyFont="1" applyFill="1" applyBorder="1" applyAlignment="1">
      <alignment horizontal="right" wrapText="1"/>
    </xf>
    <xf numFmtId="2" fontId="0" fillId="0" borderId="0" xfId="0" applyNumberFormat="1"/>
    <xf numFmtId="170" fontId="35" fillId="0" borderId="19" xfId="0" applyNumberFormat="1" applyFont="1" applyBorder="1" applyAlignment="1">
      <alignment horizontal="right" wrapText="1"/>
    </xf>
    <xf numFmtId="171" fontId="33" fillId="29" borderId="18" xfId="4" applyNumberFormat="1" applyFont="1" applyFill="1" applyBorder="1" applyAlignment="1">
      <alignment horizontal="right" wrapText="1"/>
    </xf>
    <xf numFmtId="171" fontId="33" fillId="13" borderId="18" xfId="4" applyNumberFormat="1" applyFont="1" applyFill="1" applyBorder="1" applyAlignment="1">
      <alignment horizontal="right" wrapText="1"/>
    </xf>
    <xf numFmtId="171" fontId="33" fillId="14" borderId="18" xfId="4" applyNumberFormat="1" applyFont="1" applyFill="1" applyBorder="1" applyAlignment="1">
      <alignment horizontal="right" wrapText="1"/>
    </xf>
    <xf numFmtId="0" fontId="33" fillId="0" borderId="21" xfId="0" applyFont="1" applyBorder="1" applyAlignment="1">
      <alignment horizontal="left" vertical="center" indent="2"/>
    </xf>
    <xf numFmtId="10" fontId="33" fillId="29" borderId="19" xfId="0" applyNumberFormat="1" applyFont="1" applyFill="1" applyBorder="1" applyAlignment="1">
      <alignment horizontal="right" wrapText="1"/>
    </xf>
    <xf numFmtId="10" fontId="33" fillId="13" borderId="19" xfId="0" applyNumberFormat="1" applyFont="1" applyFill="1" applyBorder="1" applyAlignment="1">
      <alignment horizontal="right" wrapText="1"/>
    </xf>
    <xf numFmtId="10" fontId="33" fillId="14" borderId="19" xfId="0" applyNumberFormat="1" applyFont="1" applyFill="1" applyBorder="1" applyAlignment="1">
      <alignment horizontal="right" wrapText="1"/>
    </xf>
    <xf numFmtId="0" fontId="33" fillId="0" borderId="19" xfId="0" applyFont="1" applyBorder="1" applyAlignment="1">
      <alignment horizontal="left" wrapText="1" indent="2"/>
    </xf>
    <xf numFmtId="0" fontId="2" fillId="0" borderId="0" xfId="0" applyFont="1"/>
    <xf numFmtId="0" fontId="34" fillId="0" borderId="0" xfId="0" applyFont="1" applyAlignment="1">
      <alignment horizontal="left" wrapText="1"/>
    </xf>
    <xf numFmtId="171" fontId="33" fillId="29" borderId="0" xfId="4" applyNumberFormat="1" applyFont="1" applyFill="1" applyBorder="1" applyAlignment="1">
      <alignment horizontal="right" wrapText="1"/>
    </xf>
    <xf numFmtId="171" fontId="33" fillId="13" borderId="0" xfId="4" applyNumberFormat="1" applyFont="1" applyFill="1" applyBorder="1" applyAlignment="1">
      <alignment horizontal="right" wrapText="1"/>
    </xf>
    <xf numFmtId="171" fontId="33" fillId="14" borderId="0" xfId="4" applyNumberFormat="1" applyFont="1" applyFill="1" applyBorder="1" applyAlignment="1">
      <alignment horizontal="right" wrapText="1"/>
    </xf>
    <xf numFmtId="0" fontId="33" fillId="0" borderId="32" xfId="0" applyFont="1" applyBorder="1" applyAlignment="1">
      <alignment vertical="center"/>
    </xf>
    <xf numFmtId="0" fontId="0" fillId="0" borderId="32" xfId="0" applyBorder="1"/>
    <xf numFmtId="0" fontId="0" fillId="0" borderId="0" xfId="0" applyAlignment="1">
      <alignment horizontal="left" indent="2"/>
    </xf>
    <xf numFmtId="2" fontId="43" fillId="10" borderId="0" xfId="0" applyNumberFormat="1" applyFont="1" applyFill="1"/>
    <xf numFmtId="2" fontId="43" fillId="30" borderId="0" xfId="0" applyNumberFormat="1" applyFont="1" applyFill="1"/>
    <xf numFmtId="2" fontId="43" fillId="12" borderId="0" xfId="0" applyNumberFormat="1" applyFont="1" applyFill="1"/>
    <xf numFmtId="170" fontId="0" fillId="29" borderId="0" xfId="0" applyNumberFormat="1" applyFill="1"/>
    <xf numFmtId="10" fontId="0" fillId="29" borderId="0" xfId="0" applyNumberFormat="1" applyFill="1"/>
    <xf numFmtId="10" fontId="0" fillId="13" borderId="0" xfId="0" applyNumberFormat="1" applyFill="1"/>
    <xf numFmtId="170" fontId="0" fillId="13" borderId="0" xfId="0" applyNumberFormat="1" applyFill="1"/>
    <xf numFmtId="10" fontId="0" fillId="14" borderId="0" xfId="0" applyNumberFormat="1" applyFill="1"/>
    <xf numFmtId="170" fontId="0" fillId="14" borderId="0" xfId="0" applyNumberFormat="1" applyFill="1"/>
    <xf numFmtId="0" fontId="0" fillId="0" borderId="0" xfId="0" applyAlignment="1">
      <alignment wrapText="1"/>
    </xf>
    <xf numFmtId="10" fontId="5" fillId="0" borderId="0" xfId="3" applyNumberFormat="1"/>
    <xf numFmtId="0" fontId="0" fillId="0" borderId="35" xfId="0" applyBorder="1"/>
    <xf numFmtId="0" fontId="0" fillId="0" borderId="36" xfId="0" applyBorder="1"/>
    <xf numFmtId="0" fontId="0" fillId="0" borderId="0" xfId="0" applyAlignment="1">
      <alignment horizontal="right"/>
    </xf>
    <xf numFmtId="0" fontId="0" fillId="0" borderId="1" xfId="0" applyBorder="1" applyAlignment="1">
      <alignment horizontal="right"/>
    </xf>
    <xf numFmtId="0" fontId="0" fillId="0" borderId="1" xfId="0" applyBorder="1"/>
    <xf numFmtId="3" fontId="21" fillId="0" borderId="8" xfId="0" applyNumberFormat="1" applyFont="1" applyBorder="1" applyAlignment="1">
      <alignment horizontal="right" vertical="center"/>
    </xf>
    <xf numFmtId="10" fontId="18" fillId="31" borderId="0" xfId="0" applyNumberFormat="1" applyFont="1" applyFill="1"/>
    <xf numFmtId="4" fontId="0" fillId="31" borderId="0" xfId="0" applyNumberFormat="1" applyFill="1"/>
    <xf numFmtId="9" fontId="0" fillId="31" borderId="0" xfId="3" applyFont="1" applyFill="1"/>
    <xf numFmtId="10" fontId="0" fillId="31" borderId="0" xfId="0" applyNumberFormat="1" applyFill="1"/>
    <xf numFmtId="4" fontId="0" fillId="31" borderId="39" xfId="0" applyNumberFormat="1" applyFill="1" applyBorder="1"/>
    <xf numFmtId="9" fontId="0" fillId="31" borderId="39" xfId="3" applyFont="1" applyFill="1" applyBorder="1"/>
    <xf numFmtId="10" fontId="0" fillId="31" borderId="39" xfId="0" applyNumberFormat="1" applyFill="1" applyBorder="1"/>
    <xf numFmtId="10" fontId="0" fillId="31" borderId="40" xfId="0" applyNumberFormat="1" applyFill="1" applyBorder="1"/>
    <xf numFmtId="0" fontId="1" fillId="16" borderId="41" xfId="0" applyFont="1" applyFill="1" applyBorder="1"/>
    <xf numFmtId="0" fontId="43" fillId="16" borderId="33" xfId="0" applyFont="1" applyFill="1" applyBorder="1"/>
    <xf numFmtId="0" fontId="0" fillId="31" borderId="39" xfId="0" applyFill="1" applyBorder="1"/>
    <xf numFmtId="1" fontId="0" fillId="31" borderId="39" xfId="0" applyNumberFormat="1" applyFill="1" applyBorder="1"/>
    <xf numFmtId="0" fontId="0" fillId="31" borderId="40" xfId="0" applyFill="1" applyBorder="1"/>
    <xf numFmtId="0" fontId="0" fillId="32" borderId="38" xfId="0" applyFill="1" applyBorder="1"/>
    <xf numFmtId="0" fontId="13" fillId="32" borderId="39" xfId="0" applyFont="1" applyFill="1" applyBorder="1"/>
    <xf numFmtId="0" fontId="0" fillId="32" borderId="39" xfId="0" applyFill="1" applyBorder="1"/>
    <xf numFmtId="14" fontId="13" fillId="32" borderId="39" xfId="0" applyNumberFormat="1" applyFont="1" applyFill="1" applyBorder="1" applyAlignment="1">
      <alignment horizontal="left"/>
    </xf>
    <xf numFmtId="0" fontId="13" fillId="32" borderId="40" xfId="0" applyFont="1" applyFill="1" applyBorder="1"/>
    <xf numFmtId="0" fontId="1" fillId="16" borderId="37" xfId="0" applyFont="1" applyFill="1" applyBorder="1" applyAlignment="1">
      <alignment horizontal="center"/>
    </xf>
    <xf numFmtId="10" fontId="18" fillId="31" borderId="38" xfId="0" applyNumberFormat="1" applyFont="1" applyFill="1" applyBorder="1"/>
    <xf numFmtId="0" fontId="0" fillId="16" borderId="38" xfId="0" applyFill="1" applyBorder="1"/>
    <xf numFmtId="0" fontId="19" fillId="17" borderId="42" xfId="0" applyFont="1" applyFill="1" applyBorder="1" applyAlignment="1">
      <alignment horizontal="left" vertical="top" wrapText="1"/>
    </xf>
    <xf numFmtId="0" fontId="19" fillId="17" borderId="43" xfId="0" applyFont="1" applyFill="1" applyBorder="1" applyAlignment="1">
      <alignment horizontal="right" vertical="top" wrapText="1"/>
    </xf>
    <xf numFmtId="0" fontId="19" fillId="17" borderId="44" xfId="0" applyFont="1" applyFill="1" applyBorder="1" applyAlignment="1">
      <alignment horizontal="right" vertical="top" wrapText="1"/>
    </xf>
    <xf numFmtId="0" fontId="2" fillId="0" borderId="35" xfId="0" applyFont="1" applyBorder="1" applyAlignment="1">
      <alignment horizontal="left" vertical="top"/>
    </xf>
    <xf numFmtId="0" fontId="0" fillId="0" borderId="34" xfId="0" applyBorder="1"/>
    <xf numFmtId="0" fontId="0" fillId="0" borderId="35" xfId="0" applyBorder="1" applyAlignment="1">
      <alignment horizontal="left" vertical="top"/>
    </xf>
    <xf numFmtId="168" fontId="0" fillId="0" borderId="34" xfId="0" applyNumberFormat="1" applyBorder="1" applyAlignment="1">
      <alignment horizontal="right" vertical="top" wrapText="1"/>
    </xf>
    <xf numFmtId="40" fontId="0" fillId="0" borderId="34" xfId="0" applyNumberFormat="1" applyBorder="1"/>
    <xf numFmtId="10" fontId="0" fillId="0" borderId="34" xfId="3" applyNumberFormat="1" applyFont="1" applyBorder="1"/>
    <xf numFmtId="0" fontId="0" fillId="0" borderId="36" xfId="0" applyBorder="1" applyAlignment="1">
      <alignment horizontal="left" vertical="top"/>
    </xf>
    <xf numFmtId="10" fontId="0" fillId="0" borderId="1" xfId="3" applyNumberFormat="1" applyFont="1" applyBorder="1"/>
    <xf numFmtId="10" fontId="0" fillId="0" borderId="37" xfId="3" applyNumberFormat="1" applyFont="1" applyBorder="1"/>
    <xf numFmtId="168" fontId="0" fillId="0" borderId="1" xfId="0" applyNumberFormat="1" applyBorder="1" applyAlignment="1">
      <alignment horizontal="right" vertical="top" wrapText="1"/>
    </xf>
    <xf numFmtId="168" fontId="0" fillId="0" borderId="37" xfId="0" applyNumberFormat="1" applyBorder="1" applyAlignment="1">
      <alignment horizontal="right" vertical="top" wrapText="1"/>
    </xf>
    <xf numFmtId="0" fontId="61" fillId="0" borderId="0" xfId="0" applyFont="1"/>
    <xf numFmtId="3" fontId="61" fillId="0" borderId="0" xfId="0" applyNumberFormat="1" applyFont="1"/>
    <xf numFmtId="0" fontId="63" fillId="3" borderId="0" xfId="0" applyFont="1" applyFill="1" applyAlignment="1">
      <alignment vertical="center"/>
    </xf>
    <xf numFmtId="167" fontId="65" fillId="0" borderId="0" xfId="0" applyNumberFormat="1" applyFont="1"/>
    <xf numFmtId="3" fontId="65" fillId="0" borderId="0" xfId="0" applyNumberFormat="1" applyFont="1"/>
    <xf numFmtId="0" fontId="64" fillId="0" borderId="0" xfId="0" applyFont="1"/>
    <xf numFmtId="0" fontId="65" fillId="0" borderId="0" xfId="0" applyFont="1"/>
    <xf numFmtId="164" fontId="65" fillId="0" borderId="0" xfId="0" applyNumberFormat="1" applyFont="1"/>
    <xf numFmtId="165" fontId="65" fillId="0" borderId="0" xfId="0" applyNumberFormat="1" applyFont="1"/>
    <xf numFmtId="3" fontId="64" fillId="0" borderId="0" xfId="0" applyNumberFormat="1" applyFont="1"/>
    <xf numFmtId="0" fontId="9" fillId="4" borderId="2" xfId="0" applyFont="1" applyFill="1" applyBorder="1" applyAlignment="1">
      <alignment horizontal="left" vertical="center"/>
    </xf>
    <xf numFmtId="0" fontId="0" fillId="0" borderId="4" xfId="0" applyBorder="1"/>
    <xf numFmtId="0" fontId="0" fillId="0" borderId="5" xfId="0" applyBorder="1"/>
    <xf numFmtId="0" fontId="6" fillId="2" borderId="0" xfId="0" applyFont="1" applyFill="1" applyAlignment="1">
      <alignment horizontal="center" vertical="center"/>
    </xf>
    <xf numFmtId="0" fontId="0" fillId="0" borderId="0" xfId="0"/>
    <xf numFmtId="0" fontId="13" fillId="0" borderId="0" xfId="0" applyFont="1"/>
    <xf numFmtId="0" fontId="7" fillId="2" borderId="2" xfId="0" applyFont="1" applyFill="1" applyBorder="1" applyAlignment="1">
      <alignment horizontal="center" vertical="center"/>
    </xf>
    <xf numFmtId="0" fontId="0" fillId="0" borderId="3" xfId="0" applyBorder="1"/>
    <xf numFmtId="0" fontId="7" fillId="11" borderId="2" xfId="0" applyFont="1" applyFill="1" applyBorder="1" applyAlignment="1">
      <alignment horizontal="center" vertical="center"/>
    </xf>
    <xf numFmtId="0" fontId="7" fillId="12" borderId="2" xfId="0" applyFont="1" applyFill="1" applyBorder="1" applyAlignment="1">
      <alignment horizontal="center" vertical="center"/>
    </xf>
    <xf numFmtId="0" fontId="7" fillId="10" borderId="2" xfId="0" applyFont="1" applyFill="1" applyBorder="1" applyAlignment="1">
      <alignment horizontal="center" vertical="center"/>
    </xf>
    <xf numFmtId="0" fontId="31" fillId="12" borderId="8" xfId="0" applyFont="1" applyFill="1" applyBorder="1" applyAlignment="1">
      <alignment horizontal="center" vertical="center"/>
    </xf>
    <xf numFmtId="0" fontId="0" fillId="12" borderId="9" xfId="0" applyFill="1" applyBorder="1"/>
    <xf numFmtId="0" fontId="0" fillId="12" borderId="10" xfId="0" applyFill="1" applyBorder="1"/>
    <xf numFmtId="0" fontId="31" fillId="16" borderId="8" xfId="0" applyFont="1" applyFill="1" applyBorder="1" applyAlignment="1">
      <alignment horizontal="left" vertical="center"/>
    </xf>
    <xf numFmtId="0" fontId="0" fillId="16" borderId="9" xfId="0" applyFill="1" applyBorder="1"/>
    <xf numFmtId="0" fontId="0" fillId="16" borderId="10" xfId="0" applyFill="1" applyBorder="1"/>
    <xf numFmtId="0" fontId="31" fillId="10" borderId="8" xfId="0" applyFont="1" applyFill="1" applyBorder="1" applyAlignment="1">
      <alignment horizontal="center" vertical="center"/>
    </xf>
    <xf numFmtId="0" fontId="0" fillId="10" borderId="9" xfId="0" applyFill="1" applyBorder="1"/>
    <xf numFmtId="0" fontId="0" fillId="10" borderId="10" xfId="0" applyFill="1" applyBorder="1"/>
    <xf numFmtId="0" fontId="24" fillId="2" borderId="0" xfId="0" applyFont="1" applyFill="1"/>
    <xf numFmtId="0" fontId="31" fillId="11" borderId="8" xfId="0" applyFont="1" applyFill="1" applyBorder="1" applyAlignment="1">
      <alignment horizontal="center" vertical="center"/>
    </xf>
    <xf numFmtId="0" fontId="0" fillId="11" borderId="9" xfId="0" applyFill="1" applyBorder="1"/>
    <xf numFmtId="0" fontId="0" fillId="11" borderId="10" xfId="0" applyFill="1" applyBorder="1"/>
    <xf numFmtId="0" fontId="20" fillId="2" borderId="8" xfId="0" applyFont="1" applyFill="1" applyBorder="1" applyAlignment="1">
      <alignment horizontal="center" vertical="center"/>
    </xf>
    <xf numFmtId="0" fontId="0" fillId="2" borderId="9" xfId="0" applyFill="1" applyBorder="1"/>
    <xf numFmtId="0" fontId="0" fillId="2" borderId="10" xfId="0" applyFill="1" applyBorder="1"/>
    <xf numFmtId="0" fontId="3" fillId="0" borderId="0" xfId="0" applyFont="1"/>
    <xf numFmtId="0" fontId="65" fillId="0" borderId="0" xfId="0" applyFont="1" applyAlignment="1">
      <alignment horizontal="left" indent="2"/>
    </xf>
    <xf numFmtId="0" fontId="61" fillId="0" borderId="0" xfId="0" applyFont="1"/>
    <xf numFmtId="0" fontId="65" fillId="0" borderId="0" xfId="0" applyFont="1" applyAlignment="1">
      <alignment horizontal="left" indent="4"/>
    </xf>
    <xf numFmtId="0" fontId="64" fillId="0" borderId="0" xfId="0" applyFont="1" applyAlignment="1">
      <alignment horizontal="center"/>
    </xf>
    <xf numFmtId="0" fontId="64" fillId="0" borderId="1" xfId="0" applyFont="1" applyBorder="1"/>
    <xf numFmtId="0" fontId="61" fillId="0" borderId="1" xfId="0" applyFont="1" applyBorder="1"/>
    <xf numFmtId="0" fontId="64" fillId="0" borderId="0" xfId="0" applyFont="1"/>
    <xf numFmtId="0" fontId="65" fillId="0" borderId="0" xfId="0" applyFont="1" applyAlignment="1">
      <alignment horizontal="left" indent="6"/>
    </xf>
    <xf numFmtId="0" fontId="62" fillId="2" borderId="0" xfId="0" applyFont="1" applyFill="1" applyAlignment="1">
      <alignment horizontal="center" wrapText="1"/>
    </xf>
    <xf numFmtId="0" fontId="13" fillId="32" borderId="39" xfId="0" applyFont="1" applyFill="1" applyBorder="1" applyAlignment="1">
      <alignment horizontal="left" wrapText="1"/>
    </xf>
    <xf numFmtId="0" fontId="41" fillId="10" borderId="31" xfId="0" applyFont="1" applyFill="1" applyBorder="1" applyAlignment="1">
      <alignment horizontal="center" wrapText="1"/>
    </xf>
    <xf numFmtId="0" fontId="41" fillId="10" borderId="30" xfId="0" applyFont="1" applyFill="1" applyBorder="1" applyAlignment="1">
      <alignment horizontal="center" wrapText="1"/>
    </xf>
    <xf numFmtId="0" fontId="41" fillId="28" borderId="31" xfId="0" applyFont="1" applyFill="1" applyBorder="1" applyAlignment="1">
      <alignment horizontal="center" wrapText="1"/>
    </xf>
    <xf numFmtId="0" fontId="41" fillId="28" borderId="30" xfId="0" applyFont="1" applyFill="1" applyBorder="1" applyAlignment="1">
      <alignment horizontal="center" wrapText="1"/>
    </xf>
    <xf numFmtId="0" fontId="41" fillId="12" borderId="31" xfId="0" applyFont="1" applyFill="1" applyBorder="1" applyAlignment="1">
      <alignment horizontal="center" wrapText="1"/>
    </xf>
    <xf numFmtId="0" fontId="41" fillId="12" borderId="30" xfId="0" applyFont="1" applyFill="1" applyBorder="1" applyAlignment="1">
      <alignment horizontal="center" wrapText="1"/>
    </xf>
    <xf numFmtId="0" fontId="66" fillId="0" borderId="0" xfId="0" applyFont="1"/>
    <xf numFmtId="0" fontId="65" fillId="0" borderId="0" xfId="0" applyFont="1"/>
    <xf numFmtId="0" fontId="2" fillId="3" borderId="0" xfId="0" applyFont="1" applyFill="1" applyAlignment="1">
      <alignment horizontal="center"/>
    </xf>
    <xf numFmtId="0" fontId="1" fillId="2" borderId="0" xfId="0" applyFont="1" applyFill="1" applyAlignment="1">
      <alignment horizontal="center"/>
    </xf>
    <xf numFmtId="0" fontId="2" fillId="3" borderId="0" xfId="0" applyFont="1" applyFill="1" applyAlignment="1">
      <alignment horizontal="center" vertical="center"/>
    </xf>
  </cellXfs>
  <cellStyles count="25">
    <cellStyle name="ChartingText" xfId="20" xr:uid="{57C30EB9-857D-414C-A02A-0D6AC320165C}"/>
    <cellStyle name="CHPAboveAverage" xfId="21" xr:uid="{D19A07D6-45FE-44B9-AA77-24476D5B137C}"/>
    <cellStyle name="CHPBelowAverage" xfId="21" xr:uid="{2FA6FA3D-CCA3-4487-9753-E93893E9D5E4}"/>
    <cellStyle name="CHPBottom" xfId="21" xr:uid="{E2EC6094-4FCC-471F-9D3A-5804D41287D4}"/>
    <cellStyle name="CHPTop" xfId="21" xr:uid="{DB3AA95E-1C17-46B3-B0F0-547C6FF82D8F}"/>
    <cellStyle name="ColumnHeaderNormal" xfId="12" xr:uid="{23E08632-9CB5-43AE-B1BC-052750420AF8}"/>
    <cellStyle name="Comma" xfId="4" builtinId="3"/>
    <cellStyle name="Currency" xfId="2" builtinId="4"/>
    <cellStyle name="Invisible" xfId="19" xr:uid="{9220AF17-DF9E-4BE6-AE90-829F250BC3C1}"/>
    <cellStyle name="NewColumnHeaderNormal" xfId="10" xr:uid="{428D1261-4022-4D17-B1BC-1A156A855537}"/>
    <cellStyle name="NewSectionHeaderNormal" xfId="9" xr:uid="{A46C44AC-00AE-40CD-868C-ED086FF88755}"/>
    <cellStyle name="NewTitleNormal" xfId="8" xr:uid="{B1B22DA9-92A5-4991-A0A5-2E979C4181DB}"/>
    <cellStyle name="Normal" xfId="0" builtinId="0"/>
    <cellStyle name="Normal 2" xfId="1" xr:uid="{00000000-0005-0000-0000-000001000000}"/>
    <cellStyle name="Normal 3" xfId="5" xr:uid="{4EBA3369-B064-4B19-948D-2B93E4869DE0}"/>
    <cellStyle name="Normal 4" xfId="6" xr:uid="{1A2CBE33-4B04-4B59-A6F0-3D30781F999E}"/>
    <cellStyle name="Percent" xfId="3" builtinId="5"/>
    <cellStyle name="SectionHeaderNormal" xfId="11" xr:uid="{38621B36-5F86-4F66-AD54-0C7C3863DE24}"/>
    <cellStyle name="SubScript" xfId="15" xr:uid="{0147C0EF-CC16-4F58-8903-944DB9AF09EE}"/>
    <cellStyle name="SuperScript" xfId="14" xr:uid="{1F0DC040-9D68-4762-9E20-303FE54E1B8F}"/>
    <cellStyle name="TextBold" xfId="16" xr:uid="{1447A5E1-88C4-4842-A512-CA7E41FC7B77}"/>
    <cellStyle name="TextItalic" xfId="17" xr:uid="{36FD854C-6FCF-4BCB-B12F-AB5249990C90}"/>
    <cellStyle name="TextNormal" xfId="13" xr:uid="{9C3C3732-4F9B-4599-8A9E-2A5CAE73EB6E}"/>
    <cellStyle name="TitleNormal" xfId="7" xr:uid="{5DCFB40B-F1D5-4046-8D8A-97162D3F7159}"/>
    <cellStyle name="Total 2" xfId="18" xr:uid="{427BAA80-C8CB-465F-88FE-70CD6DA0B3E8}"/>
  </cellStyles>
  <dxfs count="0"/>
  <tableStyles count="0" defaultTableStyle="TableStyleMedium2" defaultPivotStyle="PivotStyleLight16"/>
  <colors>
    <mruColors>
      <color rgb="FFFFFFCC"/>
      <color rgb="FFFCEA9C"/>
      <color rgb="FFF4A11D"/>
      <color rgb="FF2CA05A"/>
      <color rgb="FF1A6FA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
  <sheetViews>
    <sheetView workbookViewId="0">
      <selection activeCell="F13" sqref="F13"/>
    </sheetView>
  </sheetViews>
  <sheetFormatPr defaultRowHeight="14.5" x14ac:dyDescent="0.35"/>
  <cols>
    <col min="1" max="2" width="8.7265625" style="42" customWidth="1"/>
    <col min="3" max="16384" width="8.7265625" style="42"/>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showGridLines="0" zoomScale="59" zoomScaleNormal="106" workbookViewId="0">
      <pane xSplit="4" ySplit="3" topLeftCell="E7" activePane="bottomRight" state="frozen"/>
      <selection pane="topRight"/>
      <selection pane="bottomLeft"/>
      <selection pane="bottomRight" activeCell="E34" sqref="E34"/>
    </sheetView>
  </sheetViews>
  <sheetFormatPr defaultRowHeight="14.5" x14ac:dyDescent="0.35"/>
  <cols>
    <col min="1" max="1" width="18" customWidth="1"/>
    <col min="2" max="2" width="38" customWidth="1"/>
    <col min="3" max="3" width="14" customWidth="1"/>
    <col min="4" max="4" width="11.54296875" customWidth="1"/>
    <col min="5" max="21" width="10" customWidth="1"/>
    <col min="22" max="22" width="32.54296875" style="22" customWidth="1"/>
    <col min="23" max="23" width="36.81640625" style="22" customWidth="1"/>
    <col min="24" max="24" width="42" customWidth="1"/>
  </cols>
  <sheetData>
    <row r="1" spans="1:24" ht="30" customHeight="1" x14ac:dyDescent="0.35">
      <c r="A1" s="252" t="s">
        <v>6</v>
      </c>
      <c r="B1" s="253"/>
      <c r="C1" s="253"/>
      <c r="D1" s="253"/>
      <c r="E1" s="253"/>
      <c r="F1" s="253"/>
      <c r="G1" s="253"/>
      <c r="H1" s="253"/>
      <c r="I1" s="253"/>
      <c r="J1" s="253"/>
      <c r="K1" s="253"/>
      <c r="L1" s="253"/>
      <c r="M1" s="253"/>
      <c r="N1" s="253"/>
      <c r="O1" s="253"/>
      <c r="P1" s="253"/>
      <c r="Q1" s="253"/>
      <c r="R1" s="253"/>
      <c r="S1" s="253"/>
      <c r="T1" s="253"/>
      <c r="U1" s="253"/>
      <c r="V1" s="254"/>
      <c r="W1" s="254"/>
      <c r="X1" s="253"/>
    </row>
    <row r="2" spans="1:24" ht="18" customHeight="1" x14ac:dyDescent="0.35">
      <c r="A2" s="255" t="s">
        <v>7</v>
      </c>
      <c r="B2" s="255" t="s">
        <v>8</v>
      </c>
      <c r="C2" s="255" t="s">
        <v>9</v>
      </c>
      <c r="D2" s="255" t="s">
        <v>10</v>
      </c>
      <c r="E2" s="250"/>
      <c r="F2" s="251"/>
      <c r="G2" s="259" t="s">
        <v>11</v>
      </c>
      <c r="H2" s="250"/>
      <c r="I2" s="250"/>
      <c r="J2" s="250"/>
      <c r="K2" s="251"/>
      <c r="L2" s="257" t="s">
        <v>12</v>
      </c>
      <c r="M2" s="250"/>
      <c r="N2" s="250"/>
      <c r="O2" s="250"/>
      <c r="P2" s="251"/>
      <c r="Q2" s="258" t="s">
        <v>13</v>
      </c>
      <c r="R2" s="250"/>
      <c r="S2" s="250"/>
      <c r="T2" s="250"/>
      <c r="U2" s="251"/>
      <c r="V2" s="19" t="s">
        <v>14</v>
      </c>
      <c r="W2" s="19" t="s">
        <v>15</v>
      </c>
      <c r="X2" s="19" t="s">
        <v>16</v>
      </c>
    </row>
    <row r="3" spans="1:24" ht="18" customHeight="1" x14ac:dyDescent="0.35">
      <c r="A3" s="256"/>
      <c r="B3" s="256"/>
      <c r="C3" s="256"/>
      <c r="D3" s="20" t="s">
        <v>17</v>
      </c>
      <c r="E3" s="20" t="s">
        <v>18</v>
      </c>
      <c r="F3" s="20" t="s">
        <v>19</v>
      </c>
      <c r="G3" s="23" t="s">
        <v>20</v>
      </c>
      <c r="H3" s="23" t="s">
        <v>21</v>
      </c>
      <c r="I3" s="23" t="s">
        <v>22</v>
      </c>
      <c r="J3" s="23" t="s">
        <v>23</v>
      </c>
      <c r="K3" s="23" t="s">
        <v>24</v>
      </c>
      <c r="L3" s="24" t="s">
        <v>20</v>
      </c>
      <c r="M3" s="24" t="s">
        <v>21</v>
      </c>
      <c r="N3" s="24" t="s">
        <v>22</v>
      </c>
      <c r="O3" s="24" t="s">
        <v>23</v>
      </c>
      <c r="P3" s="24" t="s">
        <v>24</v>
      </c>
      <c r="Q3" s="25" t="s">
        <v>20</v>
      </c>
      <c r="R3" s="25" t="s">
        <v>21</v>
      </c>
      <c r="S3" s="25" t="s">
        <v>22</v>
      </c>
      <c r="T3" s="25" t="s">
        <v>23</v>
      </c>
      <c r="U3" s="25" t="s">
        <v>24</v>
      </c>
      <c r="V3" s="19"/>
      <c r="W3" s="19"/>
      <c r="X3" s="20"/>
    </row>
    <row r="4" spans="1:24" x14ac:dyDescent="0.35">
      <c r="A4" s="249" t="s">
        <v>25</v>
      </c>
      <c r="B4" s="250"/>
      <c r="C4" s="250"/>
      <c r="D4" s="250"/>
      <c r="E4" s="250"/>
      <c r="F4" s="250"/>
      <c r="G4" s="250"/>
      <c r="H4" s="250"/>
      <c r="I4" s="250"/>
      <c r="J4" s="250"/>
      <c r="K4" s="250"/>
      <c r="L4" s="250"/>
      <c r="M4" s="250"/>
      <c r="N4" s="250"/>
      <c r="O4" s="250"/>
      <c r="P4" s="250"/>
      <c r="Q4" s="250"/>
      <c r="R4" s="250"/>
      <c r="S4" s="250"/>
      <c r="T4" s="250"/>
      <c r="U4" s="250"/>
      <c r="V4" s="250"/>
      <c r="W4" s="250"/>
      <c r="X4" s="251"/>
    </row>
    <row r="5" spans="1:24" ht="52" customHeight="1" x14ac:dyDescent="0.35">
      <c r="A5" s="3" t="s">
        <v>26</v>
      </c>
      <c r="B5" s="4" t="s">
        <v>27</v>
      </c>
      <c r="C5" s="5" t="s">
        <v>28</v>
      </c>
      <c r="D5" s="6">
        <f>'Operating Metrics'!D3/'Operating Metrics'!G3-1</f>
        <v>0.17839639286414433</v>
      </c>
      <c r="E5" s="6">
        <f>'Operating Metrics'!E3/'Operating Metrics'!D3-1</f>
        <v>0.28228456163699889</v>
      </c>
      <c r="F5" s="6">
        <f>'Operating Metrics'!F3/'Operating Metrics'!E3-1</f>
        <v>0.4714129333063044</v>
      </c>
      <c r="G5" s="7">
        <v>4.4999999999999998E-2</v>
      </c>
      <c r="H5" s="7">
        <f>G5-1%</f>
        <v>3.4999999999999996E-2</v>
      </c>
      <c r="I5" s="7">
        <f>H5-1%</f>
        <v>2.4999999999999994E-2</v>
      </c>
      <c r="J5" s="7">
        <f>I5-0.5%</f>
        <v>1.9999999999999993E-2</v>
      </c>
      <c r="K5" s="7">
        <f>J5-0.5%</f>
        <v>1.4999999999999993E-2</v>
      </c>
      <c r="L5" s="26">
        <v>0.05</v>
      </c>
      <c r="M5" s="26">
        <f>L5-1%</f>
        <v>0.04</v>
      </c>
      <c r="N5" s="26">
        <f>M5-1%</f>
        <v>0.03</v>
      </c>
      <c r="O5" s="26">
        <f>N5-0.5%</f>
        <v>2.4999999999999998E-2</v>
      </c>
      <c r="P5" s="26">
        <f>O5-0.5%</f>
        <v>1.9999999999999997E-2</v>
      </c>
      <c r="Q5" s="28">
        <v>5.5E-2</v>
      </c>
      <c r="R5" s="28">
        <f>Q5-1%</f>
        <v>4.4999999999999998E-2</v>
      </c>
      <c r="S5" s="28">
        <f>R5-1%</f>
        <v>3.4999999999999996E-2</v>
      </c>
      <c r="T5" s="28">
        <f>S5-0.5%</f>
        <v>2.9999999999999995E-2</v>
      </c>
      <c r="U5" s="28">
        <f>T5-0.5%</f>
        <v>2.4999999999999994E-2</v>
      </c>
      <c r="V5" s="21" t="s">
        <v>29</v>
      </c>
      <c r="W5" s="21" t="s">
        <v>30</v>
      </c>
      <c r="X5" s="21" t="s">
        <v>31</v>
      </c>
    </row>
    <row r="6" spans="1:24" ht="52" customHeight="1" x14ac:dyDescent="0.35">
      <c r="A6" s="8" t="s">
        <v>26</v>
      </c>
      <c r="B6" s="9" t="s">
        <v>32</v>
      </c>
      <c r="C6" s="10" t="s">
        <v>28</v>
      </c>
      <c r="D6" s="6">
        <f>'Operating Metrics'!D4/'Operating Metrics'!G4-1</f>
        <v>0.12326507007756149</v>
      </c>
      <c r="E6" s="6">
        <f>'Operating Metrics'!E4/'Operating Metrics'!D4-1</f>
        <v>0.39150098174311143</v>
      </c>
      <c r="F6" s="6">
        <f>'Operating Metrics'!F4/'Operating Metrics'!E4-1</f>
        <v>0.6245465757399884</v>
      </c>
      <c r="G6" s="7">
        <f>G5+1%</f>
        <v>5.5E-2</v>
      </c>
      <c r="H6" s="7">
        <f>G6-1%</f>
        <v>4.4999999999999998E-2</v>
      </c>
      <c r="I6" s="7">
        <f>H6-1%</f>
        <v>3.4999999999999996E-2</v>
      </c>
      <c r="J6" s="7">
        <f>I6-0.5%</f>
        <v>2.9999999999999995E-2</v>
      </c>
      <c r="K6" s="7">
        <f>J6-0.5%</f>
        <v>2.4999999999999994E-2</v>
      </c>
      <c r="L6" s="26">
        <f>L5+1%</f>
        <v>6.0000000000000005E-2</v>
      </c>
      <c r="M6" s="26">
        <f>L6-1%</f>
        <v>0.05</v>
      </c>
      <c r="N6" s="26">
        <f>M6-1%</f>
        <v>0.04</v>
      </c>
      <c r="O6" s="26">
        <f>N6-0.5%</f>
        <v>3.5000000000000003E-2</v>
      </c>
      <c r="P6" s="26">
        <f>O6-0.5%</f>
        <v>3.0000000000000002E-2</v>
      </c>
      <c r="Q6" s="28">
        <f>Q5+1%</f>
        <v>6.5000000000000002E-2</v>
      </c>
      <c r="R6" s="28">
        <f>Q6-1%</f>
        <v>5.5E-2</v>
      </c>
      <c r="S6" s="28">
        <f>R6-1%</f>
        <v>4.4999999999999998E-2</v>
      </c>
      <c r="T6" s="28">
        <f>S6-0.5%</f>
        <v>0.04</v>
      </c>
      <c r="U6" s="28">
        <f>T6-0.5%</f>
        <v>3.5000000000000003E-2</v>
      </c>
      <c r="V6" s="21" t="s">
        <v>33</v>
      </c>
      <c r="W6" s="21" t="s">
        <v>34</v>
      </c>
      <c r="X6" s="21" t="s">
        <v>35</v>
      </c>
    </row>
    <row r="7" spans="1:24" ht="52" customHeight="1" x14ac:dyDescent="0.35">
      <c r="A7" s="3" t="s">
        <v>26</v>
      </c>
      <c r="B7" s="4" t="s">
        <v>36</v>
      </c>
      <c r="C7" s="5" t="s">
        <v>28</v>
      </c>
      <c r="D7" s="6">
        <f>'Operating Metrics'!D5/'Operating Metrics'!G5-1</f>
        <v>0.14514725568942444</v>
      </c>
      <c r="E7" s="6">
        <f>'Operating Metrics'!E5/'Operating Metrics'!D5-1</f>
        <v>0.45249437414150862</v>
      </c>
      <c r="F7" s="6">
        <f>'Operating Metrics'!F5/'Operating Metrics'!E5-1</f>
        <v>0.61112676056338033</v>
      </c>
      <c r="G7" s="7">
        <v>2.5000000000000001E-2</v>
      </c>
      <c r="H7" s="7">
        <v>0.02</v>
      </c>
      <c r="I7" s="7">
        <v>0.02</v>
      </c>
      <c r="J7" s="7">
        <v>1.4999999999999999E-2</v>
      </c>
      <c r="K7" s="7">
        <v>1.4999999999999999E-2</v>
      </c>
      <c r="L7" s="26">
        <v>0.04</v>
      </c>
      <c r="M7" s="26">
        <v>3.5000000000000003E-2</v>
      </c>
      <c r="N7" s="26">
        <v>0.03</v>
      </c>
      <c r="O7" s="26">
        <v>2.5000000000000001E-2</v>
      </c>
      <c r="P7" s="26">
        <v>2.5000000000000001E-2</v>
      </c>
      <c r="Q7" s="28">
        <v>4.4999999999999998E-2</v>
      </c>
      <c r="R7" s="28">
        <v>0.04</v>
      </c>
      <c r="S7" s="28">
        <v>3.5000000000000003E-2</v>
      </c>
      <c r="T7" s="28">
        <v>0.03</v>
      </c>
      <c r="U7" s="28">
        <v>2.5000000000000001E-2</v>
      </c>
      <c r="V7" s="21" t="s">
        <v>33</v>
      </c>
      <c r="W7" s="21" t="s">
        <v>37</v>
      </c>
      <c r="X7" s="21" t="s">
        <v>38</v>
      </c>
    </row>
    <row r="8" spans="1:24" x14ac:dyDescent="0.35">
      <c r="A8" s="249" t="s">
        <v>39</v>
      </c>
      <c r="B8" s="250"/>
      <c r="C8" s="250"/>
      <c r="D8" s="250"/>
      <c r="E8" s="250"/>
      <c r="F8" s="250"/>
      <c r="G8" s="250"/>
      <c r="H8" s="250"/>
      <c r="I8" s="250"/>
      <c r="J8" s="250"/>
      <c r="K8" s="250"/>
      <c r="L8" s="250"/>
      <c r="M8" s="250"/>
      <c r="N8" s="250"/>
      <c r="O8" s="250"/>
      <c r="P8" s="250"/>
      <c r="Q8" s="250"/>
      <c r="R8" s="250"/>
      <c r="S8" s="250"/>
      <c r="T8" s="250"/>
      <c r="U8" s="250"/>
      <c r="V8" s="250"/>
      <c r="W8" s="250"/>
      <c r="X8" s="251"/>
    </row>
    <row r="9" spans="1:24" ht="78" customHeight="1" x14ac:dyDescent="0.35">
      <c r="A9" s="3" t="s">
        <v>40</v>
      </c>
      <c r="B9" s="4" t="s">
        <v>41</v>
      </c>
      <c r="C9" s="5" t="s">
        <v>42</v>
      </c>
      <c r="D9" s="11">
        <v>77.77</v>
      </c>
      <c r="E9" s="11">
        <v>75.53</v>
      </c>
      <c r="F9" s="11">
        <v>64.2</v>
      </c>
      <c r="G9" s="12">
        <v>71.83</v>
      </c>
      <c r="H9" s="12">
        <v>68.73</v>
      </c>
      <c r="I9" s="12">
        <v>65</v>
      </c>
      <c r="J9" s="12">
        <v>65</v>
      </c>
      <c r="K9" s="12">
        <v>65.459999999999994</v>
      </c>
      <c r="L9" s="27">
        <v>82.71</v>
      </c>
      <c r="M9" s="27">
        <v>73.08</v>
      </c>
      <c r="N9" s="27">
        <v>70.77</v>
      </c>
      <c r="O9" s="27">
        <v>70.819999999999993</v>
      </c>
      <c r="P9" s="27">
        <v>71.05</v>
      </c>
      <c r="Q9" s="30">
        <v>89</v>
      </c>
      <c r="R9" s="30">
        <v>78.099999999999994</v>
      </c>
      <c r="S9" s="30">
        <v>78.3</v>
      </c>
      <c r="T9" s="30">
        <v>75</v>
      </c>
      <c r="U9" s="30">
        <v>75</v>
      </c>
      <c r="V9" s="21" t="s">
        <v>43</v>
      </c>
      <c r="W9" s="21" t="s">
        <v>44</v>
      </c>
      <c r="X9" s="21" t="s">
        <v>45</v>
      </c>
    </row>
    <row r="10" spans="1:24" ht="58" customHeight="1" x14ac:dyDescent="0.35">
      <c r="A10" s="8" t="s">
        <v>40</v>
      </c>
      <c r="B10" s="9" t="s">
        <v>46</v>
      </c>
      <c r="C10" s="10" t="s">
        <v>42</v>
      </c>
      <c r="D10" s="11">
        <f>'Operating Metrics'!D7</f>
        <v>75.680000000000007</v>
      </c>
      <c r="E10" s="11">
        <f>'Operating Metrics'!E7</f>
        <v>73.52</v>
      </c>
      <c r="F10" s="11">
        <f>'Operating Metrics'!F7</f>
        <v>64.040000000000006</v>
      </c>
      <c r="G10" s="12">
        <f t="shared" ref="G10:U10" si="0">G9-1.5</f>
        <v>70.33</v>
      </c>
      <c r="H10" s="12">
        <f t="shared" si="0"/>
        <v>67.23</v>
      </c>
      <c r="I10" s="12">
        <f t="shared" si="0"/>
        <v>63.5</v>
      </c>
      <c r="J10" s="12">
        <f t="shared" si="0"/>
        <v>63.5</v>
      </c>
      <c r="K10" s="12">
        <f t="shared" si="0"/>
        <v>63.959999999999994</v>
      </c>
      <c r="L10" s="27">
        <f t="shared" si="0"/>
        <v>81.209999999999994</v>
      </c>
      <c r="M10" s="27">
        <f t="shared" si="0"/>
        <v>71.58</v>
      </c>
      <c r="N10" s="27">
        <f t="shared" si="0"/>
        <v>69.27</v>
      </c>
      <c r="O10" s="27">
        <f t="shared" si="0"/>
        <v>69.319999999999993</v>
      </c>
      <c r="P10" s="27">
        <f t="shared" si="0"/>
        <v>69.55</v>
      </c>
      <c r="Q10" s="30">
        <f t="shared" si="0"/>
        <v>87.5</v>
      </c>
      <c r="R10" s="30">
        <f t="shared" si="0"/>
        <v>76.599999999999994</v>
      </c>
      <c r="S10" s="30">
        <f t="shared" si="0"/>
        <v>76.8</v>
      </c>
      <c r="T10" s="30">
        <f t="shared" si="0"/>
        <v>73.5</v>
      </c>
      <c r="U10" s="30">
        <f t="shared" si="0"/>
        <v>73.5</v>
      </c>
      <c r="V10" s="21" t="s">
        <v>47</v>
      </c>
      <c r="W10" s="21" t="s">
        <v>44</v>
      </c>
      <c r="X10" s="21" t="s">
        <v>48</v>
      </c>
    </row>
    <row r="11" spans="1:24" ht="70" customHeight="1" x14ac:dyDescent="0.35">
      <c r="A11" s="3" t="s">
        <v>40</v>
      </c>
      <c r="B11" s="4" t="s">
        <v>49</v>
      </c>
      <c r="C11" s="5" t="s">
        <v>50</v>
      </c>
      <c r="D11" s="11">
        <f>'Operating Metrics'!D8</f>
        <v>1.32</v>
      </c>
      <c r="E11" s="11">
        <f>'Operating Metrics'!E8</f>
        <v>0.32</v>
      </c>
      <c r="F11" s="11">
        <f>'Operating Metrics'!F8</f>
        <v>0.89</v>
      </c>
      <c r="G11" s="12">
        <f>3.24-1.9</f>
        <v>1.3400000000000003</v>
      </c>
      <c r="H11" s="12">
        <f>3.35-1.9</f>
        <v>1.4500000000000002</v>
      </c>
      <c r="I11" s="12">
        <f>3.35-1.9</f>
        <v>1.4500000000000002</v>
      </c>
      <c r="J11" s="12">
        <f>3.55-1.9</f>
        <v>1.65</v>
      </c>
      <c r="K11" s="12">
        <f>3.55-1.9</f>
        <v>1.65</v>
      </c>
      <c r="L11" s="27">
        <f>3.73-1.9</f>
        <v>1.83</v>
      </c>
      <c r="M11" s="27">
        <f>3.78-1.9</f>
        <v>1.88</v>
      </c>
      <c r="N11" s="27">
        <f>3.84-1.9</f>
        <v>1.94</v>
      </c>
      <c r="O11" s="27">
        <f>3.95-1.9</f>
        <v>2.0500000000000003</v>
      </c>
      <c r="P11" s="27">
        <f>3.96-1.9</f>
        <v>2.06</v>
      </c>
      <c r="Q11" s="30">
        <f>5-1.9</f>
        <v>3.1</v>
      </c>
      <c r="R11" s="30">
        <f>5-1.9</f>
        <v>3.1</v>
      </c>
      <c r="S11" s="30">
        <f>5-1.9</f>
        <v>3.1</v>
      </c>
      <c r="T11" s="30">
        <f>5-1.9</f>
        <v>3.1</v>
      </c>
      <c r="U11" s="30">
        <f>5-1.9</f>
        <v>3.1</v>
      </c>
      <c r="V11" s="21" t="s">
        <v>51</v>
      </c>
      <c r="W11" s="21" t="s">
        <v>52</v>
      </c>
      <c r="X11" s="21" t="s">
        <v>53</v>
      </c>
    </row>
    <row r="12" spans="1:24" ht="58" customHeight="1" x14ac:dyDescent="0.35">
      <c r="A12" s="8" t="s">
        <v>40</v>
      </c>
      <c r="B12" s="9" t="s">
        <v>54</v>
      </c>
      <c r="C12" s="10" t="s">
        <v>42</v>
      </c>
      <c r="D12" s="11">
        <f>'Operating Metrics'!D9</f>
        <v>20.079999999999998</v>
      </c>
      <c r="E12" s="11">
        <f>'Operating Metrics'!E9</f>
        <v>18.989999999999998</v>
      </c>
      <c r="F12" s="11">
        <f>'Operating Metrics'!F9</f>
        <v>17.88</v>
      </c>
      <c r="G12" s="12">
        <f t="shared" ref="G12:U12" si="1">26%*G9</f>
        <v>18.675799999999999</v>
      </c>
      <c r="H12" s="12">
        <f t="shared" si="1"/>
        <v>17.869800000000001</v>
      </c>
      <c r="I12" s="12">
        <f t="shared" si="1"/>
        <v>16.900000000000002</v>
      </c>
      <c r="J12" s="12">
        <f t="shared" si="1"/>
        <v>16.900000000000002</v>
      </c>
      <c r="K12" s="12">
        <f t="shared" si="1"/>
        <v>17.019600000000001</v>
      </c>
      <c r="L12" s="27">
        <f t="shared" si="1"/>
        <v>21.5046</v>
      </c>
      <c r="M12" s="27">
        <f t="shared" si="1"/>
        <v>19.000800000000002</v>
      </c>
      <c r="N12" s="27">
        <f t="shared" si="1"/>
        <v>18.400199999999998</v>
      </c>
      <c r="O12" s="27">
        <f t="shared" si="1"/>
        <v>18.4132</v>
      </c>
      <c r="P12" s="27">
        <f t="shared" si="1"/>
        <v>18.472999999999999</v>
      </c>
      <c r="Q12" s="30">
        <f t="shared" si="1"/>
        <v>23.14</v>
      </c>
      <c r="R12" s="30">
        <f t="shared" si="1"/>
        <v>20.306000000000001</v>
      </c>
      <c r="S12" s="30">
        <f t="shared" si="1"/>
        <v>20.358000000000001</v>
      </c>
      <c r="T12" s="30">
        <f t="shared" si="1"/>
        <v>19.5</v>
      </c>
      <c r="U12" s="30">
        <f t="shared" si="1"/>
        <v>19.5</v>
      </c>
      <c r="V12" s="21" t="s">
        <v>55</v>
      </c>
      <c r="W12" s="21" t="s">
        <v>56</v>
      </c>
      <c r="X12" s="21" t="s">
        <v>57</v>
      </c>
    </row>
    <row r="13" spans="1:24" x14ac:dyDescent="0.35">
      <c r="A13" s="249" t="s">
        <v>58</v>
      </c>
      <c r="B13" s="250"/>
      <c r="C13" s="250"/>
      <c r="D13" s="250"/>
      <c r="E13" s="250"/>
      <c r="F13" s="250"/>
      <c r="G13" s="250"/>
      <c r="H13" s="250"/>
      <c r="I13" s="250"/>
      <c r="J13" s="250"/>
      <c r="K13" s="250"/>
      <c r="L13" s="250"/>
      <c r="M13" s="250"/>
      <c r="N13" s="250"/>
      <c r="O13" s="250"/>
      <c r="P13" s="250"/>
      <c r="Q13" s="250"/>
      <c r="R13" s="250"/>
      <c r="S13" s="250"/>
      <c r="T13" s="250"/>
      <c r="U13" s="250"/>
      <c r="V13" s="250"/>
      <c r="W13" s="250"/>
      <c r="X13" s="251"/>
    </row>
    <row r="14" spans="1:24" ht="65" customHeight="1" x14ac:dyDescent="0.35">
      <c r="A14" s="8" t="s">
        <v>59</v>
      </c>
      <c r="B14" s="9" t="s">
        <v>60</v>
      </c>
      <c r="C14" s="10" t="s">
        <v>61</v>
      </c>
      <c r="D14" s="11">
        <f>'Operating Metrics'!D11</f>
        <v>5.34</v>
      </c>
      <c r="E14" s="11">
        <f>'Operating Metrics'!E11</f>
        <v>5.87</v>
      </c>
      <c r="F14" s="11">
        <f>'Operating Metrics'!F11</f>
        <v>5.55</v>
      </c>
      <c r="G14" s="12">
        <v>5.5</v>
      </c>
      <c r="H14" s="12">
        <f>G14-0.05</f>
        <v>5.45</v>
      </c>
      <c r="I14" s="12">
        <f>H14-0.05</f>
        <v>5.4</v>
      </c>
      <c r="J14" s="12">
        <f>I14-0.05</f>
        <v>5.3500000000000005</v>
      </c>
      <c r="K14" s="12">
        <f>J14-0.05</f>
        <v>5.3000000000000007</v>
      </c>
      <c r="L14" s="27">
        <v>5.5</v>
      </c>
      <c r="M14" s="27">
        <f>L14-0.05</f>
        <v>5.45</v>
      </c>
      <c r="N14" s="27">
        <f>M14-0.05</f>
        <v>5.4</v>
      </c>
      <c r="O14" s="27">
        <f>N14-0.05</f>
        <v>5.3500000000000005</v>
      </c>
      <c r="P14" s="27">
        <f>O14-0.05</f>
        <v>5.3000000000000007</v>
      </c>
      <c r="Q14" s="30">
        <v>5.5</v>
      </c>
      <c r="R14" s="30">
        <f>Q14-0.05</f>
        <v>5.45</v>
      </c>
      <c r="S14" s="30">
        <f>R14-0.05</f>
        <v>5.4</v>
      </c>
      <c r="T14" s="30">
        <f>S14-0.05</f>
        <v>5.3500000000000005</v>
      </c>
      <c r="U14" s="30">
        <f>T14-0.05</f>
        <v>5.3000000000000007</v>
      </c>
      <c r="V14" s="21" t="s">
        <v>62</v>
      </c>
      <c r="W14" s="21" t="s">
        <v>63</v>
      </c>
      <c r="X14" s="21" t="s">
        <v>64</v>
      </c>
    </row>
    <row r="15" spans="1:24" ht="58" customHeight="1" x14ac:dyDescent="0.35">
      <c r="A15" s="3" t="s">
        <v>59</v>
      </c>
      <c r="B15" s="4" t="s">
        <v>65</v>
      </c>
      <c r="C15" s="5" t="s">
        <v>61</v>
      </c>
      <c r="D15" s="11">
        <f>'Operating Metrics'!D12</f>
        <v>3.21</v>
      </c>
      <c r="E15" s="11">
        <f>'Operating Metrics'!E12</f>
        <v>2.91</v>
      </c>
      <c r="F15" s="11">
        <f>'Operating Metrics'!F12</f>
        <v>2.5299999999999998</v>
      </c>
      <c r="G15" s="12">
        <f t="shared" ref="G15:U15" si="2">3.97%*G9</f>
        <v>2.8516509999999999</v>
      </c>
      <c r="H15" s="12">
        <f t="shared" si="2"/>
        <v>2.7285810000000001</v>
      </c>
      <c r="I15" s="12">
        <f t="shared" si="2"/>
        <v>2.5804999999999998</v>
      </c>
      <c r="J15" s="12">
        <f t="shared" si="2"/>
        <v>2.5804999999999998</v>
      </c>
      <c r="K15" s="12">
        <f t="shared" si="2"/>
        <v>2.5987619999999998</v>
      </c>
      <c r="L15" s="27">
        <f t="shared" si="2"/>
        <v>3.2835869999999998</v>
      </c>
      <c r="M15" s="27">
        <f t="shared" si="2"/>
        <v>2.9012759999999997</v>
      </c>
      <c r="N15" s="27">
        <f t="shared" si="2"/>
        <v>2.8095689999999998</v>
      </c>
      <c r="O15" s="27">
        <f t="shared" si="2"/>
        <v>2.8115539999999997</v>
      </c>
      <c r="P15" s="27">
        <f t="shared" si="2"/>
        <v>2.8206849999999997</v>
      </c>
      <c r="Q15" s="30">
        <f t="shared" si="2"/>
        <v>3.5333000000000001</v>
      </c>
      <c r="R15" s="30">
        <f t="shared" si="2"/>
        <v>3.1005699999999998</v>
      </c>
      <c r="S15" s="30">
        <f t="shared" si="2"/>
        <v>3.1085099999999999</v>
      </c>
      <c r="T15" s="30">
        <f t="shared" si="2"/>
        <v>2.9775</v>
      </c>
      <c r="U15" s="30">
        <f t="shared" si="2"/>
        <v>2.9775</v>
      </c>
      <c r="V15" s="21" t="s">
        <v>66</v>
      </c>
      <c r="W15" s="21" t="s">
        <v>67</v>
      </c>
      <c r="X15" s="21" t="s">
        <v>68</v>
      </c>
    </row>
    <row r="16" spans="1:24" ht="84.5" customHeight="1" x14ac:dyDescent="0.35">
      <c r="A16" s="8" t="s">
        <v>59</v>
      </c>
      <c r="B16" s="9" t="s">
        <v>69</v>
      </c>
      <c r="C16" s="10" t="s">
        <v>61</v>
      </c>
      <c r="D16" s="11">
        <f>'Operating Metrics'!D13</f>
        <v>1.76</v>
      </c>
      <c r="E16" s="11">
        <f>'Operating Metrics'!E13</f>
        <v>1.63</v>
      </c>
      <c r="F16" s="11">
        <f>'Operating Metrics'!F13</f>
        <v>1.53</v>
      </c>
      <c r="G16" s="12">
        <v>1.52</v>
      </c>
      <c r="H16" s="12">
        <f t="shared" ref="H16:K17" si="3">G16-0.02</f>
        <v>1.5</v>
      </c>
      <c r="I16" s="12">
        <f t="shared" si="3"/>
        <v>1.48</v>
      </c>
      <c r="J16" s="12">
        <f t="shared" si="3"/>
        <v>1.46</v>
      </c>
      <c r="K16" s="12">
        <f t="shared" si="3"/>
        <v>1.44</v>
      </c>
      <c r="L16" s="27">
        <v>1.52</v>
      </c>
      <c r="M16" s="27">
        <f t="shared" ref="M16:P17" si="4">L16-0.02</f>
        <v>1.5</v>
      </c>
      <c r="N16" s="27">
        <f t="shared" si="4"/>
        <v>1.48</v>
      </c>
      <c r="O16" s="27">
        <f t="shared" si="4"/>
        <v>1.46</v>
      </c>
      <c r="P16" s="27">
        <f t="shared" si="4"/>
        <v>1.44</v>
      </c>
      <c r="Q16" s="30">
        <v>1.52</v>
      </c>
      <c r="R16" s="30">
        <f t="shared" ref="R16:U17" si="5">Q16-0.02</f>
        <v>1.5</v>
      </c>
      <c r="S16" s="30">
        <f t="shared" si="5"/>
        <v>1.48</v>
      </c>
      <c r="T16" s="30">
        <f t="shared" si="5"/>
        <v>1.46</v>
      </c>
      <c r="U16" s="30">
        <f t="shared" si="5"/>
        <v>1.44</v>
      </c>
      <c r="V16" s="21" t="s">
        <v>70</v>
      </c>
      <c r="W16" s="21" t="s">
        <v>71</v>
      </c>
      <c r="X16" s="21" t="s">
        <v>72</v>
      </c>
    </row>
    <row r="17" spans="1:24" ht="65" customHeight="1" x14ac:dyDescent="0.35">
      <c r="A17" s="3" t="s">
        <v>59</v>
      </c>
      <c r="B17" s="4" t="s">
        <v>73</v>
      </c>
      <c r="C17" s="5" t="s">
        <v>61</v>
      </c>
      <c r="D17" s="11">
        <f>'Operating Metrics'!D14</f>
        <v>0.59</v>
      </c>
      <c r="E17" s="11">
        <f>'Operating Metrics'!E14</f>
        <v>0.68</v>
      </c>
      <c r="F17" s="11">
        <f>'Operating Metrics'!F14</f>
        <v>0.62</v>
      </c>
      <c r="G17" s="12">
        <v>0.6</v>
      </c>
      <c r="H17" s="12">
        <f t="shared" si="3"/>
        <v>0.57999999999999996</v>
      </c>
      <c r="I17" s="12">
        <f t="shared" si="3"/>
        <v>0.55999999999999994</v>
      </c>
      <c r="J17" s="12">
        <f t="shared" si="3"/>
        <v>0.53999999999999992</v>
      </c>
      <c r="K17" s="12">
        <f t="shared" si="3"/>
        <v>0.51999999999999991</v>
      </c>
      <c r="L17" s="27">
        <v>0.6</v>
      </c>
      <c r="M17" s="27">
        <f t="shared" si="4"/>
        <v>0.57999999999999996</v>
      </c>
      <c r="N17" s="27">
        <f t="shared" si="4"/>
        <v>0.55999999999999994</v>
      </c>
      <c r="O17" s="27">
        <f t="shared" si="4"/>
        <v>0.53999999999999992</v>
      </c>
      <c r="P17" s="27">
        <f t="shared" si="4"/>
        <v>0.51999999999999991</v>
      </c>
      <c r="Q17" s="30">
        <v>0.6</v>
      </c>
      <c r="R17" s="30">
        <f t="shared" si="5"/>
        <v>0.57999999999999996</v>
      </c>
      <c r="S17" s="30">
        <f t="shared" si="5"/>
        <v>0.55999999999999994</v>
      </c>
      <c r="T17" s="30">
        <f t="shared" si="5"/>
        <v>0.53999999999999992</v>
      </c>
      <c r="U17" s="30">
        <f t="shared" si="5"/>
        <v>0.51999999999999991</v>
      </c>
      <c r="V17" s="21" t="s">
        <v>74</v>
      </c>
      <c r="W17" s="21" t="s">
        <v>75</v>
      </c>
      <c r="X17" s="21" t="s">
        <v>76</v>
      </c>
    </row>
    <row r="18" spans="1:24" x14ac:dyDescent="0.35">
      <c r="A18" s="249" t="s">
        <v>77</v>
      </c>
      <c r="B18" s="250"/>
      <c r="C18" s="250"/>
      <c r="D18" s="250"/>
      <c r="E18" s="250"/>
      <c r="F18" s="250"/>
      <c r="G18" s="250"/>
      <c r="H18" s="250"/>
      <c r="I18" s="250"/>
      <c r="J18" s="250"/>
      <c r="K18" s="250"/>
      <c r="L18" s="250"/>
      <c r="M18" s="250"/>
      <c r="N18" s="250"/>
      <c r="O18" s="250"/>
      <c r="P18" s="250"/>
      <c r="Q18" s="250"/>
      <c r="R18" s="250"/>
      <c r="S18" s="250"/>
      <c r="T18" s="250"/>
      <c r="U18" s="250"/>
      <c r="V18" s="250"/>
      <c r="W18" s="250"/>
      <c r="X18" s="251"/>
    </row>
    <row r="19" spans="1:24" ht="74" customHeight="1" x14ac:dyDescent="0.35">
      <c r="A19" s="3" t="s">
        <v>78</v>
      </c>
      <c r="B19" s="4" t="s">
        <v>79</v>
      </c>
      <c r="C19" s="5" t="s">
        <v>61</v>
      </c>
      <c r="D19" s="11">
        <f>'Cash Flow Statement'!E7/'Operating Metrics'!D6*1000000/1000</f>
        <v>10.684584457784876</v>
      </c>
      <c r="E19" s="11">
        <f>'Cash Flow Statement'!F7/'Operating Metrics'!E6*1000000/1000</f>
        <v>13.01536269477376</v>
      </c>
      <c r="F19" s="11">
        <f>'Cash Flow Statement'!G7/'Operating Metrics'!F6*1000000/1000</f>
        <v>14.986108549637395</v>
      </c>
      <c r="G19" s="12">
        <v>15</v>
      </c>
      <c r="H19" s="12">
        <v>15</v>
      </c>
      <c r="I19" s="12">
        <v>15</v>
      </c>
      <c r="J19" s="12">
        <v>15</v>
      </c>
      <c r="K19" s="12">
        <v>15</v>
      </c>
      <c r="L19" s="27">
        <v>15</v>
      </c>
      <c r="M19" s="27">
        <v>15</v>
      </c>
      <c r="N19" s="27">
        <v>15</v>
      </c>
      <c r="O19" s="27">
        <v>15</v>
      </c>
      <c r="P19" s="27">
        <v>15</v>
      </c>
      <c r="Q19" s="30">
        <v>15</v>
      </c>
      <c r="R19" s="30">
        <v>15</v>
      </c>
      <c r="S19" s="30">
        <v>15</v>
      </c>
      <c r="T19" s="30">
        <v>15</v>
      </c>
      <c r="U19" s="30">
        <v>15</v>
      </c>
      <c r="V19" s="21" t="s">
        <v>80</v>
      </c>
      <c r="W19" s="21" t="s">
        <v>81</v>
      </c>
      <c r="X19" s="21" t="s">
        <v>82</v>
      </c>
    </row>
    <row r="20" spans="1:24" x14ac:dyDescent="0.35">
      <c r="A20" s="249" t="s">
        <v>83</v>
      </c>
      <c r="B20" s="250"/>
      <c r="C20" s="250"/>
      <c r="D20" s="250"/>
      <c r="E20" s="250"/>
      <c r="F20" s="250"/>
      <c r="G20" s="250"/>
      <c r="H20" s="250"/>
      <c r="I20" s="250"/>
      <c r="J20" s="250"/>
      <c r="K20" s="250"/>
      <c r="L20" s="250"/>
      <c r="M20" s="250"/>
      <c r="N20" s="250"/>
      <c r="O20" s="250"/>
      <c r="P20" s="250"/>
      <c r="Q20" s="250"/>
      <c r="R20" s="250"/>
      <c r="S20" s="250"/>
      <c r="T20" s="250"/>
      <c r="U20" s="250"/>
      <c r="V20" s="250"/>
      <c r="W20" s="250"/>
      <c r="X20" s="251"/>
    </row>
    <row r="21" spans="1:24" ht="65" customHeight="1" x14ac:dyDescent="0.35">
      <c r="A21" s="3" t="s">
        <v>84</v>
      </c>
      <c r="B21" s="4" t="s">
        <v>85</v>
      </c>
      <c r="C21" s="5" t="s">
        <v>5</v>
      </c>
      <c r="D21" s="13">
        <f>-'Operating Metrics'!D15</f>
        <v>2701</v>
      </c>
      <c r="E21" s="13">
        <f>-'Operating Metrics'!E15</f>
        <v>2867</v>
      </c>
      <c r="F21" s="13">
        <f>-'Operating Metrics'!F15</f>
        <v>3523</v>
      </c>
      <c r="G21" s="12">
        <v>3900</v>
      </c>
      <c r="H21" s="12">
        <f>G21*1.03</f>
        <v>4017</v>
      </c>
      <c r="I21" s="12">
        <f>H21*1.02</f>
        <v>4097.34</v>
      </c>
      <c r="J21" s="12">
        <f>I21*1.02</f>
        <v>4179.2867999999999</v>
      </c>
      <c r="K21" s="12">
        <f>J21*1.02</f>
        <v>4262.8725359999999</v>
      </c>
      <c r="L21" s="27">
        <v>3900</v>
      </c>
      <c r="M21" s="27">
        <f>L21*1.03</f>
        <v>4017</v>
      </c>
      <c r="N21" s="27">
        <f>M21*1.02</f>
        <v>4097.34</v>
      </c>
      <c r="O21" s="27">
        <f>N21*1.02</f>
        <v>4179.2867999999999</v>
      </c>
      <c r="P21" s="27">
        <f>O21*1.02</f>
        <v>4262.8725359999999</v>
      </c>
      <c r="Q21" s="30">
        <v>3900</v>
      </c>
      <c r="R21" s="30">
        <f>Q21*1.03</f>
        <v>4017</v>
      </c>
      <c r="S21" s="30">
        <f>R21*1.02</f>
        <v>4097.34</v>
      </c>
      <c r="T21" s="30">
        <f>S21*1.02</f>
        <v>4179.2867999999999</v>
      </c>
      <c r="U21" s="30">
        <f>T21*1.02</f>
        <v>4262.8725359999999</v>
      </c>
      <c r="V21" s="21" t="s">
        <v>86</v>
      </c>
      <c r="W21" s="21" t="s">
        <v>87</v>
      </c>
      <c r="X21" s="21" t="s">
        <v>88</v>
      </c>
    </row>
    <row r="22" spans="1:24" x14ac:dyDescent="0.35">
      <c r="A22" s="249" t="s">
        <v>89</v>
      </c>
      <c r="B22" s="250"/>
      <c r="C22" s="250"/>
      <c r="D22" s="250"/>
      <c r="E22" s="250"/>
      <c r="F22" s="250"/>
      <c r="G22" s="250"/>
      <c r="H22" s="250"/>
      <c r="I22" s="250"/>
      <c r="J22" s="250"/>
      <c r="K22" s="250"/>
      <c r="L22" s="250"/>
      <c r="M22" s="250"/>
      <c r="N22" s="250"/>
      <c r="O22" s="250"/>
      <c r="P22" s="250"/>
      <c r="Q22" s="250"/>
      <c r="R22" s="250"/>
      <c r="S22" s="250"/>
      <c r="T22" s="250"/>
      <c r="U22" s="250"/>
      <c r="V22" s="250"/>
      <c r="W22" s="250"/>
      <c r="X22" s="251"/>
    </row>
    <row r="23" spans="1:24" ht="79" customHeight="1" x14ac:dyDescent="0.35">
      <c r="A23" s="8" t="s">
        <v>90</v>
      </c>
      <c r="B23" s="9" t="s">
        <v>91</v>
      </c>
      <c r="C23" s="10" t="s">
        <v>28</v>
      </c>
      <c r="D23" s="6">
        <f>'Income Statement'!E42/'Income Statement'!E40</f>
        <v>0.21468926553672316</v>
      </c>
      <c r="E23" s="6">
        <f>'Income Statement'!F42/'Income Statement'!F40</f>
        <v>0.17773828038213729</v>
      </c>
      <c r="F23" s="6">
        <f>'Income Statement'!G42/'Income Statement'!G40</f>
        <v>0.17449306296691569</v>
      </c>
      <c r="G23" s="7">
        <v>0.2</v>
      </c>
      <c r="H23" s="7">
        <v>0.2</v>
      </c>
      <c r="I23" s="7">
        <v>0.2</v>
      </c>
      <c r="J23" s="7">
        <v>0.2</v>
      </c>
      <c r="K23" s="7">
        <v>0.2</v>
      </c>
      <c r="L23" s="26">
        <v>0.2</v>
      </c>
      <c r="M23" s="26">
        <v>0.2</v>
      </c>
      <c r="N23" s="26">
        <v>0.2</v>
      </c>
      <c r="O23" s="26">
        <v>0.2</v>
      </c>
      <c r="P23" s="26">
        <v>0.2</v>
      </c>
      <c r="Q23" s="28">
        <v>0.2</v>
      </c>
      <c r="R23" s="28">
        <v>0.2</v>
      </c>
      <c r="S23" s="28">
        <v>0.2</v>
      </c>
      <c r="T23" s="28">
        <v>0.2</v>
      </c>
      <c r="U23" s="28">
        <v>0.2</v>
      </c>
      <c r="V23" s="21" t="s">
        <v>92</v>
      </c>
      <c r="W23" s="21" t="s">
        <v>93</v>
      </c>
      <c r="X23" s="21" t="s">
        <v>94</v>
      </c>
    </row>
    <row r="24" spans="1:24" ht="79" customHeight="1" x14ac:dyDescent="0.35">
      <c r="A24" s="8" t="s">
        <v>90</v>
      </c>
      <c r="B24" s="9" t="s">
        <v>95</v>
      </c>
      <c r="C24" s="10" t="s">
        <v>28</v>
      </c>
      <c r="D24" s="6"/>
      <c r="E24" s="6"/>
      <c r="F24" s="6"/>
      <c r="G24" s="7">
        <v>6.5000000000000002E-2</v>
      </c>
      <c r="H24" s="7">
        <v>6.5000000000000002E-2</v>
      </c>
      <c r="I24" s="7">
        <v>6.5000000000000002E-2</v>
      </c>
      <c r="J24" s="7">
        <v>6.5000000000000002E-2</v>
      </c>
      <c r="K24" s="7">
        <v>6.5000000000000002E-2</v>
      </c>
      <c r="L24" s="26">
        <v>6.5000000000000002E-2</v>
      </c>
      <c r="M24" s="26">
        <v>6.5000000000000002E-2</v>
      </c>
      <c r="N24" s="26">
        <v>6.5000000000000002E-2</v>
      </c>
      <c r="O24" s="26">
        <v>6.5000000000000002E-2</v>
      </c>
      <c r="P24" s="26">
        <v>6.5000000000000002E-2</v>
      </c>
      <c r="Q24" s="28">
        <v>6.5000000000000002E-2</v>
      </c>
      <c r="R24" s="28">
        <v>6.5000000000000002E-2</v>
      </c>
      <c r="S24" s="28">
        <v>6.5000000000000002E-2</v>
      </c>
      <c r="T24" s="28">
        <v>6.5000000000000002E-2</v>
      </c>
      <c r="U24" s="28">
        <v>6.5000000000000002E-2</v>
      </c>
      <c r="V24" s="21"/>
      <c r="W24" s="21" t="s">
        <v>96</v>
      </c>
      <c r="X24" s="21" t="s">
        <v>97</v>
      </c>
    </row>
    <row r="25" spans="1:24" ht="169" customHeight="1" x14ac:dyDescent="0.35">
      <c r="A25" s="8" t="s">
        <v>90</v>
      </c>
      <c r="B25" s="9" t="s">
        <v>98</v>
      </c>
      <c r="C25" s="10" t="s">
        <v>28</v>
      </c>
      <c r="D25" s="6"/>
      <c r="E25" s="6"/>
      <c r="F25" s="6"/>
      <c r="G25" s="7">
        <f>'Terminal Growth'!$I$26</f>
        <v>0.01</v>
      </c>
      <c r="H25" s="7">
        <f>'Terminal Growth'!$I$26</f>
        <v>0.01</v>
      </c>
      <c r="I25" s="7">
        <f>'Terminal Growth'!$I$26</f>
        <v>0.01</v>
      </c>
      <c r="J25" s="7">
        <f>'Terminal Growth'!$I$26</f>
        <v>0.01</v>
      </c>
      <c r="K25" s="7">
        <f>'Terminal Growth'!$I$26</f>
        <v>0.01</v>
      </c>
      <c r="L25" s="26">
        <f>'Terminal Growth'!$I$26</f>
        <v>0.01</v>
      </c>
      <c r="M25" s="26">
        <f>'Terminal Growth'!$I$26</f>
        <v>0.01</v>
      </c>
      <c r="N25" s="26">
        <f>'Terminal Growth'!$I$26</f>
        <v>0.01</v>
      </c>
      <c r="O25" s="26">
        <f>'Terminal Growth'!$I$26</f>
        <v>0.01</v>
      </c>
      <c r="P25" s="26">
        <f>'Terminal Growth'!$I$26</f>
        <v>0.01</v>
      </c>
      <c r="Q25" s="28">
        <f>'Terminal Growth'!$I$26</f>
        <v>0.01</v>
      </c>
      <c r="R25" s="28">
        <f>'Terminal Growth'!$I$26</f>
        <v>0.01</v>
      </c>
      <c r="S25" s="28">
        <f>'Terminal Growth'!$I$26</f>
        <v>0.01</v>
      </c>
      <c r="T25" s="28">
        <f>'Terminal Growth'!$I$26</f>
        <v>0.01</v>
      </c>
      <c r="U25" s="28">
        <f>'Terminal Growth'!$I$26</f>
        <v>0.01</v>
      </c>
      <c r="V25" s="21" t="s">
        <v>99</v>
      </c>
      <c r="W25" s="21" t="s">
        <v>96</v>
      </c>
      <c r="X25" s="21" t="s">
        <v>100</v>
      </c>
    </row>
  </sheetData>
  <mergeCells count="14">
    <mergeCell ref="A22:X22"/>
    <mergeCell ref="A18:X18"/>
    <mergeCell ref="A1:X1"/>
    <mergeCell ref="A2:A3"/>
    <mergeCell ref="C2:C3"/>
    <mergeCell ref="A13:X13"/>
    <mergeCell ref="A8:X8"/>
    <mergeCell ref="D2:F2"/>
    <mergeCell ref="L2:P2"/>
    <mergeCell ref="A4:X4"/>
    <mergeCell ref="A20:X20"/>
    <mergeCell ref="Q2:U2"/>
    <mergeCell ref="G2:K2"/>
    <mergeCell ref="B2:B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28"/>
  <sheetViews>
    <sheetView zoomScale="97" workbookViewId="0">
      <selection activeCell="C32" sqref="C32"/>
    </sheetView>
  </sheetViews>
  <sheetFormatPr defaultRowHeight="14.5" x14ac:dyDescent="0.35"/>
  <cols>
    <col min="3" max="3" width="23" customWidth="1"/>
    <col min="4" max="4" width="20.08984375" bestFit="1" customWidth="1"/>
    <col min="5" max="5" width="9.08984375" customWidth="1"/>
    <col min="6" max="6" width="56.81640625" bestFit="1" customWidth="1"/>
  </cols>
  <sheetData>
    <row r="2" spans="2:6" x14ac:dyDescent="0.35">
      <c r="B2" t="s">
        <v>440</v>
      </c>
    </row>
    <row r="3" spans="2:6" ht="15" customHeight="1" x14ac:dyDescent="0.35">
      <c r="B3" s="34" t="s">
        <v>101</v>
      </c>
      <c r="C3" s="35"/>
      <c r="D3" s="41">
        <f>D6*D8+D7*D11</f>
        <v>6.5023654223946514E-2</v>
      </c>
    </row>
    <row r="4" spans="2:6" ht="15" customHeight="1" x14ac:dyDescent="0.35">
      <c r="B4" s="36"/>
      <c r="C4" s="37" t="s">
        <v>102</v>
      </c>
      <c r="D4" s="29">
        <f>'Balance Sheet'!G24+'Balance Sheet'!G30</f>
        <v>14489</v>
      </c>
      <c r="E4" t="s">
        <v>103</v>
      </c>
      <c r="F4" t="str">
        <f ca="1">_xlfn.FORMULATEXT(D4)</f>
        <v>='Balance Sheet'!G24+'Balance Sheet'!G30</v>
      </c>
    </row>
    <row r="5" spans="2:6" ht="15" customHeight="1" x14ac:dyDescent="0.35">
      <c r="B5" s="36"/>
      <c r="C5" s="37" t="s">
        <v>104</v>
      </c>
      <c r="D5" s="29">
        <f>289.079*150.33</f>
        <v>43457.246070000008</v>
      </c>
      <c r="E5" t="s">
        <v>103</v>
      </c>
      <c r="F5" t="s">
        <v>363</v>
      </c>
    </row>
    <row r="6" spans="2:6" ht="15" customHeight="1" x14ac:dyDescent="0.35">
      <c r="B6" s="36"/>
      <c r="C6" s="39" t="s">
        <v>105</v>
      </c>
      <c r="D6" s="31">
        <f>D4/(D4+D5)</f>
        <v>0.25004208180279791</v>
      </c>
    </row>
    <row r="7" spans="2:6" ht="15" customHeight="1" x14ac:dyDescent="0.35">
      <c r="B7" s="36"/>
      <c r="C7" s="39" t="s">
        <v>106</v>
      </c>
      <c r="D7" s="31">
        <f>D5/(D4+D5)</f>
        <v>0.74995791819720203</v>
      </c>
    </row>
    <row r="8" spans="2:6" ht="15" customHeight="1" x14ac:dyDescent="0.35">
      <c r="B8" s="36"/>
      <c r="C8" s="38" t="s">
        <v>107</v>
      </c>
      <c r="D8" s="33">
        <f>D9*(1-D10)</f>
        <v>4.104E-2</v>
      </c>
    </row>
    <row r="9" spans="2:6" ht="15" customHeight="1" x14ac:dyDescent="0.35">
      <c r="B9" s="36"/>
      <c r="C9" s="39" t="s">
        <v>108</v>
      </c>
      <c r="D9" s="33">
        <v>5.1299999999999998E-2</v>
      </c>
      <c r="F9" t="s">
        <v>109</v>
      </c>
    </row>
    <row r="10" spans="2:6" ht="15" customHeight="1" x14ac:dyDescent="0.35">
      <c r="B10" s="36"/>
      <c r="C10" s="39" t="s">
        <v>110</v>
      </c>
      <c r="D10" s="31">
        <f>Summary!L23</f>
        <v>0.2</v>
      </c>
      <c r="F10" t="s">
        <v>111</v>
      </c>
    </row>
    <row r="11" spans="2:6" ht="15" customHeight="1" x14ac:dyDescent="0.35">
      <c r="B11" s="36"/>
      <c r="C11" s="38" t="s">
        <v>112</v>
      </c>
      <c r="D11" s="33">
        <f>D12+D13*D14</f>
        <v>7.3020000000000002E-2</v>
      </c>
    </row>
    <row r="12" spans="2:6" ht="15" customHeight="1" x14ac:dyDescent="0.35">
      <c r="B12" s="36"/>
      <c r="C12" s="39" t="s">
        <v>113</v>
      </c>
      <c r="D12" s="33">
        <v>4.1799999999999997E-2</v>
      </c>
      <c r="F12" s="40">
        <v>46022</v>
      </c>
    </row>
    <row r="13" spans="2:6" ht="15" customHeight="1" x14ac:dyDescent="0.35">
      <c r="B13" s="36"/>
      <c r="C13" s="39" t="s">
        <v>114</v>
      </c>
      <c r="D13" s="29">
        <v>0.7</v>
      </c>
      <c r="F13" t="s">
        <v>115</v>
      </c>
    </row>
    <row r="14" spans="2:6" ht="15" customHeight="1" x14ac:dyDescent="0.35">
      <c r="B14" s="36"/>
      <c r="C14" s="39" t="s">
        <v>116</v>
      </c>
      <c r="D14" s="33">
        <v>4.4600000000000001E-2</v>
      </c>
      <c r="F14" t="s">
        <v>117</v>
      </c>
    </row>
    <row r="16" spans="2:6" ht="15" x14ac:dyDescent="0.35">
      <c r="B16" s="34" t="s">
        <v>101</v>
      </c>
      <c r="C16" s="35"/>
      <c r="D16" s="204">
        <f>D19*D21+D20*D24</f>
        <v>6.7988742297813681E-2</v>
      </c>
    </row>
    <row r="17" spans="2:6" ht="15" x14ac:dyDescent="0.35">
      <c r="B17" s="36"/>
      <c r="C17" s="37" t="s">
        <v>102</v>
      </c>
      <c r="D17" s="205">
        <f>DCF!J26+DCF!J27</f>
        <v>13898</v>
      </c>
      <c r="E17" t="s">
        <v>103</v>
      </c>
      <c r="F17" t="s">
        <v>451</v>
      </c>
    </row>
    <row r="18" spans="2:6" ht="15" x14ac:dyDescent="0.35">
      <c r="B18" s="36"/>
      <c r="C18" s="37" t="s">
        <v>104</v>
      </c>
      <c r="D18" s="205">
        <f>DCF!J29*DCF!J30</f>
        <v>55640.957013629995</v>
      </c>
      <c r="E18" t="s">
        <v>103</v>
      </c>
      <c r="F18" t="s">
        <v>454</v>
      </c>
    </row>
    <row r="19" spans="2:6" ht="15" x14ac:dyDescent="0.35">
      <c r="B19" s="36"/>
      <c r="C19" s="39" t="s">
        <v>105</v>
      </c>
      <c r="D19" s="206">
        <f>D17/(D17+D18)</f>
        <v>0.19985919543308539</v>
      </c>
    </row>
    <row r="20" spans="2:6" ht="15" x14ac:dyDescent="0.35">
      <c r="B20" s="36"/>
      <c r="C20" s="39" t="s">
        <v>106</v>
      </c>
      <c r="D20" s="206">
        <f>D18/(D17+D18)</f>
        <v>0.80014080456691472</v>
      </c>
    </row>
    <row r="21" spans="2:6" ht="15" x14ac:dyDescent="0.35">
      <c r="B21" s="36"/>
      <c r="C21" s="38" t="s">
        <v>107</v>
      </c>
      <c r="D21" s="207">
        <f>D22*(1-D23)</f>
        <v>4.104E-2</v>
      </c>
    </row>
    <row r="22" spans="2:6" ht="58" x14ac:dyDescent="0.35">
      <c r="B22" s="36"/>
      <c r="C22" s="39" t="s">
        <v>108</v>
      </c>
      <c r="D22" s="207">
        <v>5.1299999999999998E-2</v>
      </c>
      <c r="F22" s="196" t="s">
        <v>109</v>
      </c>
    </row>
    <row r="23" spans="2:6" ht="15" x14ac:dyDescent="0.35">
      <c r="B23" s="36"/>
      <c r="C23" s="39" t="s">
        <v>110</v>
      </c>
      <c r="D23" s="206">
        <f>20%</f>
        <v>0.2</v>
      </c>
      <c r="F23" t="s">
        <v>111</v>
      </c>
    </row>
    <row r="24" spans="2:6" ht="15" x14ac:dyDescent="0.35">
      <c r="B24" s="36"/>
      <c r="C24" s="38" t="s">
        <v>112</v>
      </c>
      <c r="D24" s="207">
        <f>D25+D26*D27</f>
        <v>7.4719999999999995E-2</v>
      </c>
    </row>
    <row r="25" spans="2:6" ht="15" x14ac:dyDescent="0.35">
      <c r="B25" s="36"/>
      <c r="C25" s="39" t="s">
        <v>113</v>
      </c>
      <c r="D25" s="207">
        <v>4.3499999999999997E-2</v>
      </c>
      <c r="F25" s="40">
        <v>46111</v>
      </c>
    </row>
    <row r="26" spans="2:6" ht="15" x14ac:dyDescent="0.35">
      <c r="B26" s="36"/>
      <c r="C26" s="39" t="s">
        <v>114</v>
      </c>
      <c r="D26" s="205">
        <v>0.7</v>
      </c>
      <c r="F26" t="s">
        <v>115</v>
      </c>
    </row>
    <row r="27" spans="2:6" ht="15" x14ac:dyDescent="0.35">
      <c r="B27" s="36"/>
      <c r="C27" s="39" t="s">
        <v>116</v>
      </c>
      <c r="D27" s="207">
        <v>4.4600000000000001E-2</v>
      </c>
      <c r="F27" t="s">
        <v>117</v>
      </c>
    </row>
    <row r="28" spans="2:6" x14ac:dyDescent="0.35">
      <c r="B28" t="s">
        <v>441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6"/>
  <sheetViews>
    <sheetView showGridLines="0" zoomScale="80" workbookViewId="0">
      <selection activeCell="O13" sqref="O13"/>
    </sheetView>
  </sheetViews>
  <sheetFormatPr defaultRowHeight="14.5" x14ac:dyDescent="0.35"/>
  <cols>
    <col min="1" max="1" width="25.26953125" customWidth="1"/>
    <col min="2" max="3" width="7.90625" bestFit="1" customWidth="1"/>
    <col min="8" max="8" width="24.7265625" customWidth="1"/>
    <col min="9" max="9" width="17.81640625" bestFit="1" customWidth="1"/>
  </cols>
  <sheetData>
    <row r="1" spans="1:15" x14ac:dyDescent="0.35">
      <c r="A1" t="s">
        <v>118</v>
      </c>
    </row>
    <row r="2" spans="1:15" x14ac:dyDescent="0.35">
      <c r="A2" s="44" t="s">
        <v>119</v>
      </c>
      <c r="B2" s="45" t="s">
        <v>120</v>
      </c>
      <c r="C2" s="45" t="s">
        <v>121</v>
      </c>
      <c r="D2" s="45" t="s">
        <v>122</v>
      </c>
      <c r="E2" s="45" t="s">
        <v>123</v>
      </c>
      <c r="F2" s="45" t="s">
        <v>124</v>
      </c>
      <c r="H2" s="225" t="s">
        <v>461</v>
      </c>
      <c r="I2" s="226" t="s">
        <v>120</v>
      </c>
      <c r="J2" s="226" t="s">
        <v>121</v>
      </c>
      <c r="K2" s="226" t="s">
        <v>122</v>
      </c>
      <c r="L2" s="226" t="s">
        <v>123</v>
      </c>
      <c r="M2" s="227" t="s">
        <v>124</v>
      </c>
    </row>
    <row r="3" spans="1:15" x14ac:dyDescent="0.35">
      <c r="A3" s="46" t="s">
        <v>125</v>
      </c>
      <c r="H3" s="228" t="s">
        <v>126</v>
      </c>
      <c r="M3" s="229"/>
    </row>
    <row r="4" spans="1:15" x14ac:dyDescent="0.35">
      <c r="A4" s="47" t="s">
        <v>127</v>
      </c>
      <c r="B4" s="48">
        <v>-81.522000000000006</v>
      </c>
      <c r="C4" s="48">
        <v>-81.616</v>
      </c>
      <c r="D4" s="48">
        <v>-96.176000000000002</v>
      </c>
      <c r="E4" s="48">
        <v>-123.325</v>
      </c>
      <c r="F4" s="48">
        <v>-181.46199999999999</v>
      </c>
      <c r="H4" s="230" t="s">
        <v>127</v>
      </c>
      <c r="I4" s="48">
        <f t="shared" ref="I4:M6" si="0">B4*1</f>
        <v>-81.522000000000006</v>
      </c>
      <c r="J4" s="48">
        <f t="shared" si="0"/>
        <v>-81.616</v>
      </c>
      <c r="K4" s="48">
        <f t="shared" si="0"/>
        <v>-96.176000000000002</v>
      </c>
      <c r="L4" s="48">
        <f t="shared" si="0"/>
        <v>-123.325</v>
      </c>
      <c r="M4" s="231">
        <f t="shared" si="0"/>
        <v>-181.46199999999999</v>
      </c>
    </row>
    <row r="5" spans="1:15" x14ac:dyDescent="0.35">
      <c r="A5" s="47" t="s">
        <v>128</v>
      </c>
      <c r="B5" s="48">
        <v>-160.57</v>
      </c>
      <c r="C5" s="48">
        <v>-10.483000000000001</v>
      </c>
      <c r="D5" s="48">
        <v>-56.481999999999999</v>
      </c>
      <c r="E5" s="48">
        <v>-78.141999999999996</v>
      </c>
      <c r="F5" s="48">
        <v>-173.56100000000001</v>
      </c>
      <c r="H5" s="230" t="s">
        <v>128</v>
      </c>
      <c r="I5" s="48">
        <f t="shared" si="0"/>
        <v>-160.57</v>
      </c>
      <c r="J5" s="48">
        <f t="shared" si="0"/>
        <v>-10.483000000000001</v>
      </c>
      <c r="K5" s="48">
        <f t="shared" si="0"/>
        <v>-56.481999999999999</v>
      </c>
      <c r="L5" s="48">
        <f t="shared" si="0"/>
        <v>-78.141999999999996</v>
      </c>
      <c r="M5" s="231">
        <f t="shared" si="0"/>
        <v>-173.56100000000001</v>
      </c>
    </row>
    <row r="6" spans="1:15" x14ac:dyDescent="0.35">
      <c r="A6" s="47" t="s">
        <v>129</v>
      </c>
      <c r="B6" s="48">
        <v>271.22199999999998</v>
      </c>
      <c r="C6" s="48">
        <v>201.32599999999999</v>
      </c>
      <c r="D6" s="48">
        <v>206.56200000000001</v>
      </c>
      <c r="E6" s="48">
        <v>168.375</v>
      </c>
      <c r="F6" s="48">
        <v>306.43099999999998</v>
      </c>
      <c r="H6" s="234" t="s">
        <v>129</v>
      </c>
      <c r="I6" s="237">
        <f t="shared" si="0"/>
        <v>271.22199999999998</v>
      </c>
      <c r="J6" s="237">
        <f t="shared" si="0"/>
        <v>201.32599999999999</v>
      </c>
      <c r="K6" s="237">
        <f t="shared" si="0"/>
        <v>206.56200000000001</v>
      </c>
      <c r="L6" s="237">
        <f t="shared" si="0"/>
        <v>168.375</v>
      </c>
      <c r="M6" s="238">
        <f t="shared" si="0"/>
        <v>306.43099999999998</v>
      </c>
    </row>
    <row r="7" spans="1:15" x14ac:dyDescent="0.35">
      <c r="A7" s="46" t="s">
        <v>130</v>
      </c>
      <c r="H7" s="228" t="s">
        <v>131</v>
      </c>
      <c r="M7" s="229"/>
    </row>
    <row r="8" spans="1:15" x14ac:dyDescent="0.35">
      <c r="A8" s="47" t="s">
        <v>132</v>
      </c>
      <c r="B8" s="48">
        <v>-169.40600000000001</v>
      </c>
      <c r="C8" s="48">
        <v>-176.376</v>
      </c>
      <c r="D8" s="48">
        <v>-198.11699999999999</v>
      </c>
      <c r="E8" s="48">
        <v>-275.68</v>
      </c>
      <c r="F8" s="48">
        <v>-447.85500000000002</v>
      </c>
      <c r="H8" s="230" t="s">
        <v>132</v>
      </c>
      <c r="I8" s="48">
        <f t="shared" ref="I8:M10" si="1">B8/6</f>
        <v>-28.234333333333336</v>
      </c>
      <c r="J8" s="48">
        <f t="shared" si="1"/>
        <v>-29.396000000000001</v>
      </c>
      <c r="K8" s="48">
        <f t="shared" si="1"/>
        <v>-33.019500000000001</v>
      </c>
      <c r="L8" s="48">
        <f t="shared" si="1"/>
        <v>-45.946666666666665</v>
      </c>
      <c r="M8" s="231">
        <f t="shared" si="1"/>
        <v>-74.642499999999998</v>
      </c>
    </row>
    <row r="9" spans="1:15" x14ac:dyDescent="0.35">
      <c r="A9" s="47" t="s">
        <v>133</v>
      </c>
      <c r="B9" s="48">
        <v>195.30199999999999</v>
      </c>
      <c r="C9" s="48">
        <v>2.827</v>
      </c>
      <c r="D9" s="48">
        <v>-47.697000000000003</v>
      </c>
      <c r="E9" s="48">
        <v>-158.46799999999999</v>
      </c>
      <c r="F9" s="48">
        <v>-253.28200000000001</v>
      </c>
      <c r="H9" s="230" t="s">
        <v>133</v>
      </c>
      <c r="I9" s="48">
        <f t="shared" si="1"/>
        <v>32.550333333333334</v>
      </c>
      <c r="J9" s="48">
        <f t="shared" si="1"/>
        <v>0.47116666666666668</v>
      </c>
      <c r="K9" s="48">
        <f t="shared" si="1"/>
        <v>-7.9495000000000005</v>
      </c>
      <c r="L9" s="48">
        <f t="shared" si="1"/>
        <v>-26.411333333333332</v>
      </c>
      <c r="M9" s="231">
        <f t="shared" si="1"/>
        <v>-42.213666666666668</v>
      </c>
    </row>
    <row r="10" spans="1:15" x14ac:dyDescent="0.35">
      <c r="A10" s="47" t="s">
        <v>134</v>
      </c>
      <c r="B10" s="48">
        <v>720.125</v>
      </c>
      <c r="C10" s="48">
        <v>386.98700000000002</v>
      </c>
      <c r="D10" s="48">
        <v>424.88099999999997</v>
      </c>
      <c r="E10" s="48">
        <v>310.42099999999999</v>
      </c>
      <c r="F10" s="48">
        <v>765.62300000000005</v>
      </c>
      <c r="H10" s="234" t="s">
        <v>134</v>
      </c>
      <c r="I10" s="237">
        <f t="shared" si="1"/>
        <v>120.02083333333333</v>
      </c>
      <c r="J10" s="237">
        <f t="shared" si="1"/>
        <v>64.497833333333332</v>
      </c>
      <c r="K10" s="237">
        <f t="shared" si="1"/>
        <v>70.813499999999991</v>
      </c>
      <c r="L10" s="237">
        <f t="shared" si="1"/>
        <v>51.73683333333333</v>
      </c>
      <c r="M10" s="238">
        <f t="shared" si="1"/>
        <v>127.60383333333334</v>
      </c>
    </row>
    <row r="11" spans="1:15" x14ac:dyDescent="0.35">
      <c r="A11" s="46" t="s">
        <v>135</v>
      </c>
      <c r="H11" s="228" t="s">
        <v>136</v>
      </c>
      <c r="M11" s="229"/>
    </row>
    <row r="12" spans="1:15" x14ac:dyDescent="0.35">
      <c r="A12" s="47" t="s">
        <v>137</v>
      </c>
      <c r="B12" s="48">
        <v>-27.245999999999999</v>
      </c>
      <c r="C12" s="48">
        <v>-29.88</v>
      </c>
      <c r="D12" s="48">
        <v>-34.216999999999999</v>
      </c>
      <c r="E12" s="48">
        <v>-49.7</v>
      </c>
      <c r="F12" s="48">
        <v>-80.072999999999993</v>
      </c>
      <c r="H12" s="230" t="s">
        <v>137</v>
      </c>
      <c r="I12" s="48">
        <f t="shared" ref="I12:M14" si="2">B12*1</f>
        <v>-27.245999999999999</v>
      </c>
      <c r="J12" s="48">
        <f t="shared" si="2"/>
        <v>-29.88</v>
      </c>
      <c r="K12" s="48">
        <f t="shared" si="2"/>
        <v>-34.216999999999999</v>
      </c>
      <c r="L12" s="48">
        <f t="shared" si="2"/>
        <v>-49.7</v>
      </c>
      <c r="M12" s="231">
        <f t="shared" si="2"/>
        <v>-80.072999999999993</v>
      </c>
    </row>
    <row r="13" spans="1:15" x14ac:dyDescent="0.35">
      <c r="A13" s="47" t="s">
        <v>138</v>
      </c>
      <c r="B13" s="48">
        <v>-6.6849999999999996</v>
      </c>
      <c r="C13" s="48">
        <v>3.2280000000000002</v>
      </c>
      <c r="D13" s="48">
        <v>9.9619999999999997</v>
      </c>
      <c r="E13" s="48">
        <v>-24.518000000000001</v>
      </c>
      <c r="F13" s="48">
        <v>-88.31</v>
      </c>
      <c r="H13" s="230" t="s">
        <v>138</v>
      </c>
      <c r="I13" s="48">
        <f t="shared" si="2"/>
        <v>-6.6849999999999996</v>
      </c>
      <c r="J13" s="48">
        <f t="shared" si="2"/>
        <v>3.2280000000000002</v>
      </c>
      <c r="K13" s="48">
        <f t="shared" si="2"/>
        <v>9.9619999999999997</v>
      </c>
      <c r="L13" s="48">
        <f t="shared" si="2"/>
        <v>-24.518000000000001</v>
      </c>
      <c r="M13" s="231">
        <f t="shared" si="2"/>
        <v>-88.31</v>
      </c>
    </row>
    <row r="14" spans="1:15" x14ac:dyDescent="0.35">
      <c r="A14" s="47" t="s">
        <v>139</v>
      </c>
      <c r="B14" s="48">
        <v>127.479</v>
      </c>
      <c r="C14" s="48">
        <v>68.671000000000006</v>
      </c>
      <c r="D14" s="48">
        <v>78.498000000000005</v>
      </c>
      <c r="E14" s="48">
        <v>58.695999999999998</v>
      </c>
      <c r="F14" s="48">
        <v>144.88399999999999</v>
      </c>
      <c r="H14" s="234" t="s">
        <v>139</v>
      </c>
      <c r="I14" s="237">
        <f t="shared" si="2"/>
        <v>127.479</v>
      </c>
      <c r="J14" s="237">
        <f t="shared" si="2"/>
        <v>68.671000000000006</v>
      </c>
      <c r="K14" s="237">
        <f t="shared" si="2"/>
        <v>78.498000000000005</v>
      </c>
      <c r="L14" s="237">
        <f t="shared" si="2"/>
        <v>58.695999999999998</v>
      </c>
      <c r="M14" s="238">
        <f t="shared" si="2"/>
        <v>144.88399999999999</v>
      </c>
    </row>
    <row r="15" spans="1:15" x14ac:dyDescent="0.35">
      <c r="H15" s="228" t="s">
        <v>140</v>
      </c>
      <c r="M15" s="229"/>
    </row>
    <row r="16" spans="1:15" x14ac:dyDescent="0.35">
      <c r="H16" s="230" t="s">
        <v>26</v>
      </c>
      <c r="I16" s="43">
        <f>I4+I8+I12</f>
        <v>-137.00233333333335</v>
      </c>
      <c r="J16" s="43">
        <f>J4+J8+J12</f>
        <v>-140.892</v>
      </c>
      <c r="K16" s="43">
        <f>K4+K8+K12</f>
        <v>-163.41250000000002</v>
      </c>
      <c r="L16" s="43">
        <f>L4+L8+L12</f>
        <v>-218.97166666666669</v>
      </c>
      <c r="M16" s="232">
        <f>M4+M8+M12</f>
        <v>-336.17749999999995</v>
      </c>
      <c r="O16" s="43"/>
    </row>
    <row r="17" spans="8:13" x14ac:dyDescent="0.35">
      <c r="H17" s="230" t="s">
        <v>141</v>
      </c>
      <c r="I17" s="48">
        <f>I5+I6</f>
        <v>110.65199999999999</v>
      </c>
      <c r="J17" s="48">
        <f>J5+J6</f>
        <v>190.84299999999999</v>
      </c>
      <c r="K17" s="48">
        <f>K5+K6</f>
        <v>150.08000000000001</v>
      </c>
      <c r="L17" s="48">
        <f>L5+L6</f>
        <v>90.233000000000004</v>
      </c>
      <c r="M17" s="231">
        <f>M5+M6</f>
        <v>132.86999999999998</v>
      </c>
    </row>
    <row r="18" spans="8:13" x14ac:dyDescent="0.35">
      <c r="H18" s="230" t="s">
        <v>142</v>
      </c>
      <c r="I18" s="48">
        <f>I9+I10</f>
        <v>152.57116666666667</v>
      </c>
      <c r="J18" s="48">
        <f>J9+J10</f>
        <v>64.968999999999994</v>
      </c>
      <c r="K18" s="48">
        <f>K9+K10</f>
        <v>62.86399999999999</v>
      </c>
      <c r="L18" s="48">
        <f>L9+L10</f>
        <v>25.325499999999998</v>
      </c>
      <c r="M18" s="231">
        <f>M9+M10</f>
        <v>85.390166666666673</v>
      </c>
    </row>
    <row r="19" spans="8:13" x14ac:dyDescent="0.35">
      <c r="H19" s="234" t="s">
        <v>143</v>
      </c>
      <c r="I19" s="237">
        <f>I13+I14</f>
        <v>120.794</v>
      </c>
      <c r="J19" s="237">
        <f>J13+J14</f>
        <v>71.899000000000001</v>
      </c>
      <c r="K19" s="237">
        <f>K13+K14</f>
        <v>88.460000000000008</v>
      </c>
      <c r="L19" s="237">
        <f>L13+L14</f>
        <v>34.177999999999997</v>
      </c>
      <c r="M19" s="238">
        <f>M13+M14</f>
        <v>56.573999999999984</v>
      </c>
    </row>
    <row r="20" spans="8:13" x14ac:dyDescent="0.35">
      <c r="H20" s="228" t="s">
        <v>144</v>
      </c>
      <c r="M20" s="229"/>
    </row>
    <row r="21" spans="8:13" x14ac:dyDescent="0.35">
      <c r="H21" s="230" t="s">
        <v>145</v>
      </c>
      <c r="I21" s="32">
        <f>I17/-I4</f>
        <v>1.3573268565540588</v>
      </c>
      <c r="J21" s="32">
        <f>J17/-J4</f>
        <v>2.3383037639678492</v>
      </c>
      <c r="K21" s="32">
        <f>K17/-K4</f>
        <v>1.5604724671435701</v>
      </c>
      <c r="L21" s="32">
        <f>L17/-L4</f>
        <v>0.73166835596999802</v>
      </c>
      <c r="M21" s="233">
        <f>M17/-M4</f>
        <v>0.73221941783954758</v>
      </c>
    </row>
    <row r="22" spans="8:13" x14ac:dyDescent="0.35">
      <c r="H22" s="230" t="s">
        <v>146</v>
      </c>
      <c r="I22" s="32">
        <f>I18/-I8</f>
        <v>5.4037460302468618</v>
      </c>
      <c r="J22" s="32">
        <f>J18/-J8</f>
        <v>2.2101306300176891</v>
      </c>
      <c r="K22" s="32">
        <f>K18/-K8</f>
        <v>1.9038446978300698</v>
      </c>
      <c r="L22" s="32">
        <f>L18/-L8</f>
        <v>0.55119341265235056</v>
      </c>
      <c r="M22" s="233">
        <f>M18/-M8</f>
        <v>1.1439885677283943</v>
      </c>
    </row>
    <row r="23" spans="8:13" x14ac:dyDescent="0.35">
      <c r="H23" s="230" t="s">
        <v>147</v>
      </c>
      <c r="I23" s="32">
        <f>I19/-I12</f>
        <v>4.4334581222931808</v>
      </c>
      <c r="J23" s="32">
        <f>J19/-J12</f>
        <v>2.4062583668005355</v>
      </c>
      <c r="K23" s="32">
        <f>K19/-K12</f>
        <v>2.5852646345383876</v>
      </c>
      <c r="L23" s="32">
        <f>L19/-L12</f>
        <v>0.68768611670020108</v>
      </c>
      <c r="M23" s="233">
        <f>M19/-M12</f>
        <v>0.70653029110936261</v>
      </c>
    </row>
    <row r="24" spans="8:13" x14ac:dyDescent="0.35">
      <c r="H24" s="234" t="s">
        <v>148</v>
      </c>
      <c r="I24" s="235">
        <f>(I17+I18+I19)/-I16</f>
        <v>2.8029972725525352</v>
      </c>
      <c r="J24" s="235">
        <f>(J17+J18+J19)/-J16</f>
        <v>2.3259730857678225</v>
      </c>
      <c r="K24" s="235">
        <f>(K17+K18+K19)/-K16</f>
        <v>1.8444366251051783</v>
      </c>
      <c r="L24" s="235">
        <f>(L17+L18+L19)/-L16</f>
        <v>0.6838167799486996</v>
      </c>
      <c r="M24" s="236">
        <f>(M17+M18+M19)/-M16</f>
        <v>0.81752695128813402</v>
      </c>
    </row>
    <row r="26" spans="8:13" x14ac:dyDescent="0.35">
      <c r="H26" s="49" t="s">
        <v>98</v>
      </c>
      <c r="I26" s="50">
        <v>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EE69-7FC2-4EDD-8261-D991A7C1CA2F}">
  <sheetPr>
    <tabColor theme="1"/>
  </sheetPr>
  <dimension ref="A1"/>
  <sheetViews>
    <sheetView workbookViewId="0">
      <selection sqref="A1:XFD1048576"/>
    </sheetView>
  </sheetViews>
  <sheetFormatPr defaultRowHeight="14.5" x14ac:dyDescent="0.35"/>
  <cols>
    <col min="1" max="16384" width="8.7265625" style="42"/>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5"/>
  <sheetViews>
    <sheetView showGridLines="0" zoomScale="93" workbookViewId="0">
      <pane xSplit="4" ySplit="3" topLeftCell="F4" activePane="bottomRight" state="frozen"/>
      <selection pane="topRight"/>
      <selection pane="bottomLeft"/>
      <selection pane="bottomRight" sqref="A1:S1"/>
    </sheetView>
  </sheetViews>
  <sheetFormatPr defaultRowHeight="14.5" x14ac:dyDescent="0.35"/>
  <cols>
    <col min="1" max="1" width="40" customWidth="1"/>
    <col min="2" max="4" width="11" customWidth="1"/>
    <col min="5" max="19" width="10" customWidth="1"/>
  </cols>
  <sheetData>
    <row r="1" spans="1:19" ht="26" customHeight="1" x14ac:dyDescent="0.35">
      <c r="A1" s="252" t="s">
        <v>149</v>
      </c>
      <c r="B1" s="269"/>
      <c r="C1" s="269"/>
      <c r="D1" s="269"/>
      <c r="E1" s="269"/>
      <c r="F1" s="269"/>
      <c r="G1" s="269"/>
      <c r="H1" s="269"/>
      <c r="I1" s="269"/>
      <c r="J1" s="269"/>
      <c r="K1" s="269"/>
      <c r="L1" s="269"/>
      <c r="M1" s="269"/>
      <c r="N1" s="269"/>
      <c r="O1" s="269"/>
      <c r="P1" s="269"/>
      <c r="Q1" s="269"/>
      <c r="R1" s="269"/>
      <c r="S1" s="269"/>
    </row>
    <row r="2" spans="1:19" ht="18" customHeight="1" x14ac:dyDescent="0.35">
      <c r="A2" s="67"/>
      <c r="B2" s="273" t="s">
        <v>150</v>
      </c>
      <c r="C2" s="274"/>
      <c r="D2" s="275"/>
      <c r="E2" s="266" t="s">
        <v>174</v>
      </c>
      <c r="F2" s="267"/>
      <c r="G2" s="267"/>
      <c r="H2" s="267"/>
      <c r="I2" s="268"/>
      <c r="J2" s="270" t="s">
        <v>175</v>
      </c>
      <c r="K2" s="271"/>
      <c r="L2" s="271"/>
      <c r="M2" s="271"/>
      <c r="N2" s="272"/>
      <c r="O2" s="260" t="s">
        <v>176</v>
      </c>
      <c r="P2" s="261"/>
      <c r="Q2" s="261"/>
      <c r="R2" s="261"/>
      <c r="S2" s="262"/>
    </row>
    <row r="3" spans="1:19" ht="16" customHeight="1" x14ac:dyDescent="0.35">
      <c r="A3" s="68"/>
      <c r="B3" s="78" t="s">
        <v>17</v>
      </c>
      <c r="C3" s="78" t="s">
        <v>18</v>
      </c>
      <c r="D3" s="78" t="s">
        <v>19</v>
      </c>
      <c r="E3" s="79" t="s">
        <v>0</v>
      </c>
      <c r="F3" s="79" t="s">
        <v>1</v>
      </c>
      <c r="G3" s="79" t="s">
        <v>2</v>
      </c>
      <c r="H3" s="79" t="s">
        <v>3</v>
      </c>
      <c r="I3" s="79" t="s">
        <v>4</v>
      </c>
      <c r="J3" s="80" t="s">
        <v>0</v>
      </c>
      <c r="K3" s="80" t="s">
        <v>1</v>
      </c>
      <c r="L3" s="80" t="s">
        <v>2</v>
      </c>
      <c r="M3" s="80" t="s">
        <v>3</v>
      </c>
      <c r="N3" s="80" t="s">
        <v>4</v>
      </c>
      <c r="O3" s="81" t="s">
        <v>0</v>
      </c>
      <c r="P3" s="81" t="s">
        <v>1</v>
      </c>
      <c r="Q3" s="81" t="s">
        <v>2</v>
      </c>
      <c r="R3" s="81" t="s">
        <v>3</v>
      </c>
      <c r="S3" s="81" t="s">
        <v>4</v>
      </c>
    </row>
    <row r="4" spans="1:19" s="67" customFormat="1" ht="18" customHeight="1" x14ac:dyDescent="0.35">
      <c r="A4" s="71" t="s">
        <v>343</v>
      </c>
      <c r="B4" s="69"/>
      <c r="C4" s="69"/>
      <c r="D4" s="69"/>
      <c r="E4" s="69"/>
      <c r="F4" s="69"/>
      <c r="G4" s="69"/>
      <c r="H4" s="69"/>
      <c r="I4" s="69"/>
      <c r="J4" s="69"/>
      <c r="K4" s="69"/>
      <c r="L4" s="69"/>
      <c r="M4" s="69"/>
      <c r="N4" s="69"/>
      <c r="O4" s="69"/>
      <c r="P4" s="69"/>
      <c r="Q4" s="69"/>
      <c r="R4" s="69"/>
      <c r="S4" s="70"/>
    </row>
    <row r="5" spans="1:19" x14ac:dyDescent="0.35">
      <c r="A5" s="75" t="s">
        <v>151</v>
      </c>
      <c r="B5" s="52">
        <f>'Operating Metrics'!D3</f>
        <v>96176</v>
      </c>
      <c r="C5" s="52">
        <f>'Operating Metrics'!E3</f>
        <v>123325</v>
      </c>
      <c r="D5" s="52">
        <f>'Operating Metrics'!F3</f>
        <v>181462</v>
      </c>
      <c r="E5" s="53">
        <f>D5*(1+Summary!G5)</f>
        <v>189627.78999999998</v>
      </c>
      <c r="F5" s="53">
        <f>E5*(1+Summary!H5)</f>
        <v>196264.76264999996</v>
      </c>
      <c r="G5" s="53">
        <f>F5*(1+Summary!I5)</f>
        <v>201171.38171624995</v>
      </c>
      <c r="H5" s="53">
        <f>G5*(1+Summary!J5)</f>
        <v>205194.80935057494</v>
      </c>
      <c r="I5" s="53">
        <f>H5*(1+Summary!K5)</f>
        <v>208272.73149083354</v>
      </c>
      <c r="J5" s="82">
        <f>D5*(1+Summary!L5)</f>
        <v>190535.1</v>
      </c>
      <c r="K5" s="82">
        <f>J5*(1+Summary!M5)</f>
        <v>198156.50400000002</v>
      </c>
      <c r="L5" s="82">
        <f>K5*(1+Summary!N5)</f>
        <v>204101.19912000003</v>
      </c>
      <c r="M5" s="82">
        <f>L5*(1+Summary!O5)</f>
        <v>209203.72909800001</v>
      </c>
      <c r="N5" s="82">
        <f>M5*(1+Summary!P5)</f>
        <v>213387.80367996002</v>
      </c>
      <c r="O5" s="87">
        <f>D5*(1+Summary!Q5)</f>
        <v>191442.40999999997</v>
      </c>
      <c r="P5" s="87">
        <f>O5*(1+Summary!R5)</f>
        <v>200057.31844999996</v>
      </c>
      <c r="Q5" s="87">
        <f>P5*(1+Summary!S5)</f>
        <v>207059.32459574993</v>
      </c>
      <c r="R5" s="87">
        <f>Q5*(1+Summary!T5)</f>
        <v>213271.10433362244</v>
      </c>
      <c r="S5" s="87">
        <f>R5*(1+Summary!U5)</f>
        <v>218602.88194196299</v>
      </c>
    </row>
    <row r="6" spans="1:19" x14ac:dyDescent="0.35">
      <c r="A6" s="76" t="s">
        <v>152</v>
      </c>
      <c r="B6" s="52">
        <f>'Operating Metrics'!D4</f>
        <v>198117</v>
      </c>
      <c r="C6" s="52">
        <f>'Operating Metrics'!E4</f>
        <v>275680</v>
      </c>
      <c r="D6" s="52">
        <f>'Operating Metrics'!F4</f>
        <v>447855</v>
      </c>
      <c r="E6" s="53">
        <f>D6*(1+Summary!G6)</f>
        <v>472487.02499999997</v>
      </c>
      <c r="F6" s="53">
        <f>E6*(1+Summary!H6)</f>
        <v>493748.94112499995</v>
      </c>
      <c r="G6" s="53">
        <f>F6*(1+Summary!I6)</f>
        <v>511030.15406437492</v>
      </c>
      <c r="H6" s="53">
        <f>G6*(1+Summary!J6)</f>
        <v>526361.05868630623</v>
      </c>
      <c r="I6" s="53">
        <f>H6*(1+Summary!K6)</f>
        <v>539520.08515346388</v>
      </c>
      <c r="J6" s="82">
        <f>D6*(1+Summary!L6)</f>
        <v>474726.30000000005</v>
      </c>
      <c r="K6" s="82">
        <f>J6*(1+Summary!M6)</f>
        <v>498462.61500000005</v>
      </c>
      <c r="L6" s="82">
        <f>K6*(1+Summary!N6)</f>
        <v>518401.11960000009</v>
      </c>
      <c r="M6" s="82">
        <f>L6*(1+Summary!O6)</f>
        <v>536545.1587860001</v>
      </c>
      <c r="N6" s="82">
        <f>M6*(1+Summary!P6)</f>
        <v>552641.51354958012</v>
      </c>
      <c r="O6" s="87">
        <f>D6*(1+Summary!Q6)</f>
        <v>476965.57499999995</v>
      </c>
      <c r="P6" s="87">
        <f>O6*(1+Summary!R6)</f>
        <v>503198.68162499991</v>
      </c>
      <c r="Q6" s="87">
        <f>P6*(1+Summary!S6)</f>
        <v>525842.62229812483</v>
      </c>
      <c r="R6" s="87">
        <f>Q6*(1+Summary!T6)</f>
        <v>546876.32719004981</v>
      </c>
      <c r="S6" s="87">
        <f>R6*(1+Summary!U6)</f>
        <v>566016.99864170153</v>
      </c>
    </row>
    <row r="7" spans="1:19" x14ac:dyDescent="0.35">
      <c r="A7" s="77" t="s">
        <v>153</v>
      </c>
      <c r="B7" s="52">
        <f>'Operating Metrics'!D5</f>
        <v>34217</v>
      </c>
      <c r="C7" s="52">
        <f>'Operating Metrics'!E5</f>
        <v>49700</v>
      </c>
      <c r="D7" s="52">
        <f>'Operating Metrics'!F5</f>
        <v>80073</v>
      </c>
      <c r="E7" s="53">
        <f>D7*(1+Summary!G7)</f>
        <v>82074.824999999997</v>
      </c>
      <c r="F7" s="53">
        <f>E7*(1+Summary!H7)</f>
        <v>83716.321500000005</v>
      </c>
      <c r="G7" s="53">
        <f>F7*(1+Summary!I7)</f>
        <v>85390.647930000006</v>
      </c>
      <c r="H7" s="53">
        <f>G7*(1+Summary!J7)</f>
        <v>86671.507648949992</v>
      </c>
      <c r="I7" s="53">
        <f>H7*(1+Summary!K7)</f>
        <v>87971.580263684227</v>
      </c>
      <c r="J7" s="82">
        <f>D7*(1+Summary!L7)</f>
        <v>83275.92</v>
      </c>
      <c r="K7" s="82">
        <f>J7*(1+Summary!M7)</f>
        <v>86190.577199999985</v>
      </c>
      <c r="L7" s="82">
        <f>K7*(1+Summary!N7)</f>
        <v>88776.29451599998</v>
      </c>
      <c r="M7" s="82">
        <f>L7*(1+Summary!O7)</f>
        <v>90995.70187889997</v>
      </c>
      <c r="N7" s="82">
        <f>M7*(1+Summary!P7)</f>
        <v>93270.594425872463</v>
      </c>
      <c r="O7" s="87">
        <f>D7*(1+Summary!Q7)</f>
        <v>83676.284999999989</v>
      </c>
      <c r="P7" s="87">
        <f>O7*(1+Summary!R7)</f>
        <v>87023.336399999986</v>
      </c>
      <c r="Q7" s="87">
        <f>P7*(1+Summary!S7)</f>
        <v>90069.153173999977</v>
      </c>
      <c r="R7" s="87">
        <f>Q7*(1+Summary!T7)</f>
        <v>92771.227769219986</v>
      </c>
      <c r="S7" s="87">
        <f>R7*(1+Summary!U7)</f>
        <v>95090.508463450475</v>
      </c>
    </row>
    <row r="8" spans="1:19" x14ac:dyDescent="0.35">
      <c r="A8" s="55" t="s">
        <v>154</v>
      </c>
      <c r="B8" s="52">
        <f>'Operating Metrics'!D6</f>
        <v>163413</v>
      </c>
      <c r="C8" s="52">
        <f>'Operating Metrics'!E6</f>
        <v>218972</v>
      </c>
      <c r="D8" s="52">
        <f>'Operating Metrics'!F6</f>
        <v>336178</v>
      </c>
      <c r="E8" s="53">
        <f t="shared" ref="E8:S8" si="0">E5+E6/6+E7</f>
        <v>350450.45249999996</v>
      </c>
      <c r="F8" s="53">
        <f t="shared" si="0"/>
        <v>362272.57433749997</v>
      </c>
      <c r="G8" s="53">
        <f t="shared" si="0"/>
        <v>371733.72199031245</v>
      </c>
      <c r="H8" s="53">
        <f t="shared" si="0"/>
        <v>379593.16011390928</v>
      </c>
      <c r="I8" s="53">
        <f t="shared" si="0"/>
        <v>386164.3259467617</v>
      </c>
      <c r="J8" s="82">
        <f t="shared" si="0"/>
        <v>352932.07</v>
      </c>
      <c r="K8" s="82">
        <f t="shared" si="0"/>
        <v>367424.18369999999</v>
      </c>
      <c r="L8" s="82">
        <f>L5+L6/6+L7</f>
        <v>379277.68023599999</v>
      </c>
      <c r="M8" s="82">
        <f t="shared" si="0"/>
        <v>389623.62410789996</v>
      </c>
      <c r="N8" s="82">
        <f t="shared" si="0"/>
        <v>398765.31703076256</v>
      </c>
      <c r="O8" s="87">
        <f t="shared" si="0"/>
        <v>354612.95749999996</v>
      </c>
      <c r="P8" s="87">
        <f t="shared" si="0"/>
        <v>370947.10178749991</v>
      </c>
      <c r="Q8" s="87">
        <f t="shared" si="0"/>
        <v>384768.91481943737</v>
      </c>
      <c r="R8" s="87">
        <f t="shared" si="0"/>
        <v>397188.38663451734</v>
      </c>
      <c r="S8" s="87">
        <f t="shared" si="0"/>
        <v>408029.55684569705</v>
      </c>
    </row>
    <row r="10" spans="1:19" s="67" customFormat="1" ht="18" customHeight="1" x14ac:dyDescent="0.35">
      <c r="A10" s="74" t="s">
        <v>344</v>
      </c>
      <c r="B10" s="72"/>
      <c r="C10" s="72"/>
      <c r="D10" s="72"/>
      <c r="E10" s="72"/>
      <c r="F10" s="72"/>
      <c r="G10" s="72"/>
      <c r="H10" s="72"/>
      <c r="I10" s="72"/>
      <c r="J10" s="72"/>
      <c r="K10" s="72"/>
      <c r="L10" s="72"/>
      <c r="M10" s="72"/>
      <c r="N10" s="72"/>
      <c r="O10" s="72"/>
      <c r="P10" s="72"/>
      <c r="Q10" s="72"/>
      <c r="R10" s="72"/>
      <c r="S10" s="73"/>
    </row>
    <row r="11" spans="1:19" x14ac:dyDescent="0.35">
      <c r="A11" s="83" t="s">
        <v>345</v>
      </c>
      <c r="B11" s="52">
        <f>'Income Statement'!E4</f>
        <v>7279</v>
      </c>
      <c r="C11" s="52">
        <f>'Income Statement'!F4</f>
        <v>9067</v>
      </c>
      <c r="D11" s="52">
        <f>'Income Statement'!G4</f>
        <v>11621</v>
      </c>
      <c r="E11" s="53">
        <f>E5*Summary!G10/1000</f>
        <v>13336.522470699998</v>
      </c>
      <c r="F11" s="53">
        <f>F5*Summary!H10/1000</f>
        <v>13194.879992959497</v>
      </c>
      <c r="G11" s="53">
        <f>G5*Summary!I10/1000</f>
        <v>12774.382738981871</v>
      </c>
      <c r="H11" s="53">
        <f>H5*Summary!J10/1000</f>
        <v>13029.870393761508</v>
      </c>
      <c r="I11" s="53">
        <f>I5*Summary!K10/1000</f>
        <v>13321.123906153713</v>
      </c>
      <c r="J11" s="82">
        <f>J5*Summary!L10/1000</f>
        <v>15473.355470999999</v>
      </c>
      <c r="K11" s="82">
        <f>K5*Summary!M10/1000</f>
        <v>14184.042556320001</v>
      </c>
      <c r="L11" s="82">
        <f>L5*Summary!N10/1000</f>
        <v>14138.090063042402</v>
      </c>
      <c r="M11" s="82">
        <f>M5*Summary!O10/1000</f>
        <v>14502.002501073359</v>
      </c>
      <c r="N11" s="82">
        <f>N5*Summary!P10/1000</f>
        <v>14841.12174594122</v>
      </c>
      <c r="O11" s="87">
        <f>O5*Summary!Q10/1000</f>
        <v>16751.210874999997</v>
      </c>
      <c r="P11" s="87">
        <f>P5*Summary!R10/1000</f>
        <v>15324.390593269996</v>
      </c>
      <c r="Q11" s="87">
        <f>Q5*Summary!S10/1000</f>
        <v>15902.156128953595</v>
      </c>
      <c r="R11" s="87">
        <f>R5*Summary!T10/1000</f>
        <v>15675.42616852125</v>
      </c>
      <c r="S11" s="87">
        <f>S5*Summary!U10/1000</f>
        <v>16067.31182273428</v>
      </c>
    </row>
    <row r="12" spans="1:19" x14ac:dyDescent="0.35">
      <c r="A12" s="84" t="s">
        <v>346</v>
      </c>
      <c r="B12" s="52">
        <f>'Income Statement'!E5</f>
        <v>262</v>
      </c>
      <c r="C12" s="52">
        <f>'Income Statement'!F5</f>
        <v>89</v>
      </c>
      <c r="D12" s="52">
        <f>'Income Statement'!G5</f>
        <v>400</v>
      </c>
      <c r="E12" s="53">
        <f>E6*Summary!G11/1000</f>
        <v>633.13261350000005</v>
      </c>
      <c r="F12" s="53">
        <f>F6*Summary!H11/1000</f>
        <v>715.93596463125004</v>
      </c>
      <c r="G12" s="53">
        <f>G6*Summary!I11/1000</f>
        <v>740.99372339334377</v>
      </c>
      <c r="H12" s="53">
        <f>H6*Summary!J11/1000</f>
        <v>868.49574683240519</v>
      </c>
      <c r="I12" s="53">
        <f>I6*Summary!K11/1000</f>
        <v>890.20814050321542</v>
      </c>
      <c r="J12" s="82">
        <f>J6*Summary!L11/1000</f>
        <v>868.74912900000004</v>
      </c>
      <c r="K12" s="82">
        <f>K6*Summary!M11/1000</f>
        <v>937.10971619999998</v>
      </c>
      <c r="L12" s="82">
        <f>L6*Summary!N11/1000</f>
        <v>1005.6981720240002</v>
      </c>
      <c r="M12" s="82">
        <f>M6*Summary!O11/1000</f>
        <v>1099.9175755113001</v>
      </c>
      <c r="N12" s="82">
        <f>N6*Summary!P11/1000</f>
        <v>1138.4415179121349</v>
      </c>
      <c r="O12" s="87">
        <f>O6*Summary!Q11/1000</f>
        <v>1478.5932825</v>
      </c>
      <c r="P12" s="87">
        <f>P6*Summary!R11/1000</f>
        <v>1559.9159130374999</v>
      </c>
      <c r="Q12" s="87">
        <f>Q6*Summary!S11/1000</f>
        <v>1630.1121291241868</v>
      </c>
      <c r="R12" s="87">
        <f>R6*Summary!T11/1000</f>
        <v>1695.3166142891546</v>
      </c>
      <c r="S12" s="87">
        <f>S6*Summary!U11/1000</f>
        <v>1754.6526957892747</v>
      </c>
    </row>
    <row r="13" spans="1:19" x14ac:dyDescent="0.35">
      <c r="A13" s="85" t="s">
        <v>347</v>
      </c>
      <c r="B13" s="52">
        <f>'Income Statement'!E6</f>
        <v>687</v>
      </c>
      <c r="C13" s="52">
        <f>'Income Statement'!F6</f>
        <v>944</v>
      </c>
      <c r="D13" s="52">
        <f>'Income Statement'!G6</f>
        <v>1432</v>
      </c>
      <c r="E13" s="53">
        <f>E7*Summary!G12/1000</f>
        <v>1532.8130167349998</v>
      </c>
      <c r="F13" s="53">
        <f>F7*Summary!H12/1000</f>
        <v>1495.9939219407001</v>
      </c>
      <c r="G13" s="53">
        <f>G7*Summary!I12/1000</f>
        <v>1443.1019500170003</v>
      </c>
      <c r="H13" s="53">
        <f>H7*Summary!J12/1000</f>
        <v>1464.7484792672549</v>
      </c>
      <c r="I13" s="53">
        <f>I7*Summary!K12/1000</f>
        <v>1497.2411074558001</v>
      </c>
      <c r="J13" s="82">
        <f>J7*Summary!L12/1000</f>
        <v>1790.815349232</v>
      </c>
      <c r="K13" s="82">
        <f>K7*Summary!M12/1000</f>
        <v>1637.6899192617598</v>
      </c>
      <c r="L13" s="82">
        <f>L7*Summary!N12/1000</f>
        <v>1633.5015743533027</v>
      </c>
      <c r="M13" s="82">
        <f>M7*Summary!O12/1000</f>
        <v>1675.5220578365611</v>
      </c>
      <c r="N13" s="82">
        <f>N7*Summary!P12/1000</f>
        <v>1722.9876908291419</v>
      </c>
      <c r="O13" s="87">
        <f>O7*Summary!Q12/1000</f>
        <v>1936.2692348999999</v>
      </c>
      <c r="P13" s="87">
        <f>P7*Summary!R12/1000</f>
        <v>1767.0958689383997</v>
      </c>
      <c r="Q13" s="87">
        <f>Q7*Summary!S12/1000</f>
        <v>1833.6278203162917</v>
      </c>
      <c r="R13" s="87">
        <f>R7*Summary!T12/1000</f>
        <v>1809.0389414997896</v>
      </c>
      <c r="S13" s="87">
        <f>S7*Summary!U12/1000</f>
        <v>1854.264915037284</v>
      </c>
    </row>
    <row r="14" spans="1:19" x14ac:dyDescent="0.35">
      <c r="A14" s="55" t="s">
        <v>155</v>
      </c>
      <c r="B14" s="52">
        <f>'Income Statement'!E4+'Income Statement'!E5+'Income Statement'!E6</f>
        <v>8228</v>
      </c>
      <c r="C14" s="52">
        <f>'Income Statement'!F4+'Income Statement'!F5+'Income Statement'!F6</f>
        <v>10100</v>
      </c>
      <c r="D14" s="52">
        <f>'Income Statement'!G4+'Income Statement'!G5+'Income Statement'!G6</f>
        <v>13453</v>
      </c>
      <c r="E14" s="53">
        <f>E11+E12+E13</f>
        <v>15502.468100934997</v>
      </c>
      <c r="F14" s="53">
        <f t="shared" ref="F14:S14" si="1">F11+F12+F13</f>
        <v>15406.809879531447</v>
      </c>
      <c r="G14" s="53">
        <f t="shared" si="1"/>
        <v>14958.478412392215</v>
      </c>
      <c r="H14" s="53">
        <f t="shared" si="1"/>
        <v>15363.114619861168</v>
      </c>
      <c r="I14" s="53">
        <f t="shared" si="1"/>
        <v>15708.573154112728</v>
      </c>
      <c r="J14" s="82">
        <f t="shared" si="1"/>
        <v>18132.919949232</v>
      </c>
      <c r="K14" s="82">
        <f t="shared" si="1"/>
        <v>16758.842191781761</v>
      </c>
      <c r="L14" s="82">
        <f t="shared" si="1"/>
        <v>16777.289809419704</v>
      </c>
      <c r="M14" s="82">
        <f t="shared" si="1"/>
        <v>17277.442134421221</v>
      </c>
      <c r="N14" s="82">
        <f t="shared" si="1"/>
        <v>17702.550954682498</v>
      </c>
      <c r="O14" s="87">
        <f t="shared" si="1"/>
        <v>20166.073392399994</v>
      </c>
      <c r="P14" s="87">
        <f t="shared" si="1"/>
        <v>18651.402375245896</v>
      </c>
      <c r="Q14" s="87">
        <f t="shared" si="1"/>
        <v>19365.896078394071</v>
      </c>
      <c r="R14" s="87">
        <f t="shared" si="1"/>
        <v>19179.781724310193</v>
      </c>
      <c r="S14" s="87">
        <f t="shared" si="1"/>
        <v>19676.229433560842</v>
      </c>
    </row>
    <row r="15" spans="1:19" x14ac:dyDescent="0.35">
      <c r="A15" s="85" t="s">
        <v>348</v>
      </c>
      <c r="B15" s="52">
        <f>'Income Statement'!E7</f>
        <v>111</v>
      </c>
      <c r="C15" s="52">
        <f>'Income Statement'!F7</f>
        <v>923</v>
      </c>
      <c r="D15" s="52">
        <f>'Income Statement'!G7</f>
        <v>1476</v>
      </c>
      <c r="E15" s="53">
        <f>D15</f>
        <v>1476</v>
      </c>
      <c r="F15" s="53">
        <f>D15</f>
        <v>1476</v>
      </c>
      <c r="G15" s="53">
        <f>D15</f>
        <v>1476</v>
      </c>
      <c r="H15" s="53">
        <f>D15</f>
        <v>1476</v>
      </c>
      <c r="I15" s="53">
        <f>D15</f>
        <v>1476</v>
      </c>
      <c r="J15" s="82">
        <f>D15</f>
        <v>1476</v>
      </c>
      <c r="K15" s="82">
        <f>D15</f>
        <v>1476</v>
      </c>
      <c r="L15" s="82">
        <f>D15</f>
        <v>1476</v>
      </c>
      <c r="M15" s="82">
        <f>D15</f>
        <v>1476</v>
      </c>
      <c r="N15" s="82">
        <f>D15</f>
        <v>1476</v>
      </c>
      <c r="O15" s="87">
        <f>D15</f>
        <v>1476</v>
      </c>
      <c r="P15" s="87">
        <f>D15</f>
        <v>1476</v>
      </c>
      <c r="Q15" s="87">
        <f>D15</f>
        <v>1476</v>
      </c>
      <c r="R15" s="87">
        <f>D15</f>
        <v>1476</v>
      </c>
      <c r="S15" s="87">
        <f>D15</f>
        <v>1476</v>
      </c>
    </row>
    <row r="16" spans="1:19" x14ac:dyDescent="0.35">
      <c r="A16" s="56" t="s">
        <v>156</v>
      </c>
      <c r="B16" s="52">
        <f>'Income Statement'!E8</f>
        <v>8339</v>
      </c>
      <c r="C16" s="52">
        <f>'Income Statement'!F8</f>
        <v>11023</v>
      </c>
      <c r="D16" s="52">
        <f>'Income Statement'!G8</f>
        <v>14929</v>
      </c>
      <c r="E16" s="53">
        <f>E14+E15</f>
        <v>16978.468100934995</v>
      </c>
      <c r="F16" s="53">
        <f t="shared" ref="F16:S16" si="2">F14+F15</f>
        <v>16882.809879531447</v>
      </c>
      <c r="G16" s="53">
        <f t="shared" si="2"/>
        <v>16434.478412392215</v>
      </c>
      <c r="H16" s="53">
        <f t="shared" si="2"/>
        <v>16839.114619861168</v>
      </c>
      <c r="I16" s="53">
        <f t="shared" si="2"/>
        <v>17184.573154112728</v>
      </c>
      <c r="J16" s="82">
        <f t="shared" si="2"/>
        <v>19608.919949232</v>
      </c>
      <c r="K16" s="82">
        <f t="shared" si="2"/>
        <v>18234.842191781761</v>
      </c>
      <c r="L16" s="82">
        <f t="shared" si="2"/>
        <v>18253.289809419704</v>
      </c>
      <c r="M16" s="82">
        <f t="shared" si="2"/>
        <v>18753.442134421221</v>
      </c>
      <c r="N16" s="82">
        <f t="shared" si="2"/>
        <v>19178.550954682498</v>
      </c>
      <c r="O16" s="87">
        <f t="shared" si="2"/>
        <v>21642.073392399994</v>
      </c>
      <c r="P16" s="87">
        <f t="shared" si="2"/>
        <v>20127.402375245896</v>
      </c>
      <c r="Q16" s="87">
        <f t="shared" si="2"/>
        <v>20841.896078394071</v>
      </c>
      <c r="R16" s="87">
        <f t="shared" si="2"/>
        <v>20655.781724310193</v>
      </c>
      <c r="S16" s="87">
        <f t="shared" si="2"/>
        <v>21152.229433560842</v>
      </c>
    </row>
    <row r="18" spans="1:19" s="67" customFormat="1" ht="18" customHeight="1" x14ac:dyDescent="0.35">
      <c r="A18" s="88" t="s">
        <v>349</v>
      </c>
      <c r="B18" s="69"/>
      <c r="C18" s="69"/>
      <c r="D18" s="69"/>
      <c r="E18" s="69"/>
      <c r="F18" s="69"/>
      <c r="G18" s="69"/>
      <c r="H18" s="69"/>
      <c r="I18" s="69"/>
      <c r="J18" s="69"/>
      <c r="K18" s="69"/>
      <c r="L18" s="69"/>
      <c r="M18" s="69"/>
      <c r="N18" s="69"/>
      <c r="O18" s="69"/>
      <c r="P18" s="69"/>
      <c r="Q18" s="69"/>
      <c r="R18" s="69"/>
      <c r="S18" s="70"/>
    </row>
    <row r="19" spans="1:19" x14ac:dyDescent="0.35">
      <c r="A19" s="83" t="s">
        <v>350</v>
      </c>
      <c r="B19" s="52">
        <f>'Income Statement'!E11</f>
        <v>872</v>
      </c>
      <c r="C19" s="52">
        <f>'Income Statement'!F11</f>
        <v>1286</v>
      </c>
      <c r="D19" s="52">
        <f>'Income Statement'!G11</f>
        <v>1865</v>
      </c>
      <c r="E19" s="53">
        <f>E8*Summary!G14/1000</f>
        <v>1927.4774887499998</v>
      </c>
      <c r="F19" s="53">
        <f>F8*Summary!H14/1000</f>
        <v>1974.3855301393751</v>
      </c>
      <c r="G19" s="53">
        <f>G8*Summary!I14/1000</f>
        <v>2007.3620987476875</v>
      </c>
      <c r="H19" s="53">
        <f>H8*Summary!J14/1000</f>
        <v>2030.8234066094149</v>
      </c>
      <c r="I19" s="53">
        <f>I8*Summary!K14/1000</f>
        <v>2046.6709275178373</v>
      </c>
      <c r="J19" s="82">
        <f>J8*Summary!L14/1000</f>
        <v>1941.126385</v>
      </c>
      <c r="K19" s="82">
        <f>K8*Summary!M14/1000</f>
        <v>2002.461801165</v>
      </c>
      <c r="L19" s="82">
        <f>L8*Summary!N14/1000</f>
        <v>2048.0994732743998</v>
      </c>
      <c r="M19" s="82">
        <f>M8*Summary!O14/1000</f>
        <v>2084.4863889772651</v>
      </c>
      <c r="N19" s="82">
        <f>N8*Summary!P14/1000</f>
        <v>2113.4561802630419</v>
      </c>
      <c r="O19" s="87">
        <f>O8*Summary!Q14/1000</f>
        <v>1950.37126625</v>
      </c>
      <c r="P19" s="87">
        <f>P8*Summary!R14/1000</f>
        <v>2021.6617047418745</v>
      </c>
      <c r="Q19" s="87">
        <f>Q8*Summary!S14/1000</f>
        <v>2077.752140024962</v>
      </c>
      <c r="R19" s="87">
        <f>R8*Summary!T14/1000</f>
        <v>2124.9578684946682</v>
      </c>
      <c r="S19" s="87">
        <f>S8*Summary!U14/1000</f>
        <v>2162.5566512821947</v>
      </c>
    </row>
    <row r="20" spans="1:19" x14ac:dyDescent="0.35">
      <c r="A20" s="84" t="s">
        <v>351</v>
      </c>
      <c r="B20" s="52">
        <f>'Income Statement'!E12</f>
        <v>525</v>
      </c>
      <c r="C20" s="52">
        <f>'Income Statement'!F12</f>
        <v>638</v>
      </c>
      <c r="D20" s="52">
        <f>'Income Statement'!G12</f>
        <v>851</v>
      </c>
      <c r="E20" s="53">
        <f>E8*Summary!G15/1000</f>
        <v>999.36238332207733</v>
      </c>
      <c r="F20" s="53">
        <f>F8*Summary!H15/1000</f>
        <v>988.49006315839006</v>
      </c>
      <c r="G20" s="53">
        <f>G8*Summary!I15/1000</f>
        <v>959.2588695960012</v>
      </c>
      <c r="H20" s="53">
        <f>H8*Summary!J15/1000</f>
        <v>979.54014967394278</v>
      </c>
      <c r="I20" s="53">
        <f>I8*Summary!K15/1000</f>
        <v>1003.5491760260583</v>
      </c>
      <c r="J20" s="82">
        <f>J8*Summary!L15/1000</f>
        <v>1158.88315693509</v>
      </c>
      <c r="K20" s="82">
        <f>K8*Summary!M15/1000</f>
        <v>1065.9989659884011</v>
      </c>
      <c r="L20" s="82">
        <f>L8*Summary!N15/1000</f>
        <v>1065.6068127829781</v>
      </c>
      <c r="M20" s="82">
        <f>M8*Summary!O15/1000</f>
        <v>1095.4478588550623</v>
      </c>
      <c r="N20" s="82">
        <f>N8*Summary!P15/1000</f>
        <v>1124.7913482689164</v>
      </c>
      <c r="O20" s="87">
        <f>O8*Summary!Q15/1000</f>
        <v>1252.9539627347499</v>
      </c>
      <c r="P20" s="87">
        <f>P8*Summary!R15/1000</f>
        <v>1150.1474553892685</v>
      </c>
      <c r="Q20" s="87">
        <f>Q8*Summary!S15/1000</f>
        <v>1196.0580194053691</v>
      </c>
      <c r="R20" s="87">
        <f>R8*Summary!T15/1000</f>
        <v>1182.6284212042754</v>
      </c>
      <c r="S20" s="87">
        <f>S8*Summary!U15/1000</f>
        <v>1214.9080055080628</v>
      </c>
    </row>
    <row r="21" spans="1:19" x14ac:dyDescent="0.35">
      <c r="A21" s="85" t="s">
        <v>352</v>
      </c>
      <c r="B21" s="52">
        <f>'Income Statement'!E13</f>
        <v>287</v>
      </c>
      <c r="C21" s="52">
        <f>'Income Statement'!F13</f>
        <v>356</v>
      </c>
      <c r="D21" s="52">
        <f>'Income Statement'!G13</f>
        <v>515</v>
      </c>
      <c r="E21" s="53">
        <f>E8*Summary!G16/1000</f>
        <v>532.68468780000001</v>
      </c>
      <c r="F21" s="53">
        <f>F8*Summary!H16/1000</f>
        <v>543.40886150624999</v>
      </c>
      <c r="G21" s="53">
        <f>G8*Summary!I16/1000</f>
        <v>550.16590854566243</v>
      </c>
      <c r="H21" s="53">
        <f>H8*Summary!J16/1000</f>
        <v>554.20601376630748</v>
      </c>
      <c r="I21" s="53">
        <f>I8*Summary!K16/1000</f>
        <v>556.07662936333679</v>
      </c>
      <c r="J21" s="82">
        <f>J8*Summary!L16/1000</f>
        <v>536.45674640000004</v>
      </c>
      <c r="K21" s="82">
        <f>K8*Summary!M16/1000</f>
        <v>551.13627555000005</v>
      </c>
      <c r="L21" s="82">
        <f>L8*Summary!N16/1000</f>
        <v>561.33096674928004</v>
      </c>
      <c r="M21" s="82">
        <f>M8*Summary!O16/1000</f>
        <v>568.85049119753387</v>
      </c>
      <c r="N21" s="82">
        <f>N8*Summary!P16/1000</f>
        <v>574.22205652429807</v>
      </c>
      <c r="O21" s="87">
        <f>O8*Summary!Q16/1000</f>
        <v>539.01169540000001</v>
      </c>
      <c r="P21" s="87">
        <f>P8*Summary!R16/1000</f>
        <v>556.42065268124986</v>
      </c>
      <c r="Q21" s="87">
        <f>Q8*Summary!S16/1000</f>
        <v>569.45799393276729</v>
      </c>
      <c r="R21" s="87">
        <f>R8*Summary!T16/1000</f>
        <v>579.89504448639536</v>
      </c>
      <c r="S21" s="87">
        <f>S8*Summary!U16/1000</f>
        <v>587.56256185780376</v>
      </c>
    </row>
    <row r="22" spans="1:19" x14ac:dyDescent="0.35">
      <c r="A22" s="55" t="s">
        <v>157</v>
      </c>
      <c r="B22" s="52">
        <f>'Income Statement'!E11+'Income Statement'!E12+'Income Statement'!E13</f>
        <v>1684</v>
      </c>
      <c r="C22" s="52">
        <f>'Income Statement'!F11+'Income Statement'!F12+'Income Statement'!F13</f>
        <v>2280</v>
      </c>
      <c r="D22" s="52">
        <f>'Income Statement'!G11+'Income Statement'!G12+'Income Statement'!G13</f>
        <v>3231</v>
      </c>
      <c r="E22" s="53">
        <f t="shared" ref="E22:S22" si="3">E19+E20+E21</f>
        <v>3459.5245598720771</v>
      </c>
      <c r="F22" s="53">
        <f t="shared" si="3"/>
        <v>3506.2844548040152</v>
      </c>
      <c r="G22" s="53">
        <f t="shared" si="3"/>
        <v>3516.7868768893513</v>
      </c>
      <c r="H22" s="53">
        <f t="shared" si="3"/>
        <v>3564.5695700496653</v>
      </c>
      <c r="I22" s="53">
        <f t="shared" si="3"/>
        <v>3606.2967329072326</v>
      </c>
      <c r="J22" s="82">
        <f t="shared" si="3"/>
        <v>3636.4662883350902</v>
      </c>
      <c r="K22" s="82">
        <f t="shared" si="3"/>
        <v>3619.5970427034013</v>
      </c>
      <c r="L22" s="82">
        <f t="shared" si="3"/>
        <v>3675.0372528066578</v>
      </c>
      <c r="M22" s="82">
        <f t="shared" si="3"/>
        <v>3748.7847390298612</v>
      </c>
      <c r="N22" s="82">
        <f t="shared" si="3"/>
        <v>3812.4695850562566</v>
      </c>
      <c r="O22" s="87">
        <f t="shared" si="3"/>
        <v>3742.3369243847496</v>
      </c>
      <c r="P22" s="87">
        <f t="shared" si="3"/>
        <v>3728.229812812393</v>
      </c>
      <c r="Q22" s="87">
        <f t="shared" si="3"/>
        <v>3843.2681533630985</v>
      </c>
      <c r="R22" s="87">
        <f t="shared" si="3"/>
        <v>3887.4813341853392</v>
      </c>
      <c r="S22" s="87">
        <f t="shared" si="3"/>
        <v>3965.0272186480611</v>
      </c>
    </row>
    <row r="23" spans="1:19" x14ac:dyDescent="0.35">
      <c r="A23" s="85" t="s">
        <v>353</v>
      </c>
      <c r="B23" s="52">
        <f>'Income Statement'!E14</f>
        <v>111</v>
      </c>
      <c r="C23" s="52">
        <f>'Income Statement'!F14</f>
        <v>921</v>
      </c>
      <c r="D23" s="52">
        <f>'Income Statement'!G14</f>
        <v>1474</v>
      </c>
      <c r="E23" s="53">
        <f>E15</f>
        <v>1476</v>
      </c>
      <c r="F23" s="53">
        <f t="shared" ref="F23:S23" si="4">F15</f>
        <v>1476</v>
      </c>
      <c r="G23" s="53">
        <f t="shared" si="4"/>
        <v>1476</v>
      </c>
      <c r="H23" s="53">
        <f t="shared" si="4"/>
        <v>1476</v>
      </c>
      <c r="I23" s="53">
        <f t="shared" si="4"/>
        <v>1476</v>
      </c>
      <c r="J23" s="82">
        <f t="shared" si="4"/>
        <v>1476</v>
      </c>
      <c r="K23" s="82">
        <f t="shared" si="4"/>
        <v>1476</v>
      </c>
      <c r="L23" s="82">
        <f t="shared" si="4"/>
        <v>1476</v>
      </c>
      <c r="M23" s="82">
        <f t="shared" si="4"/>
        <v>1476</v>
      </c>
      <c r="N23" s="82">
        <f t="shared" si="4"/>
        <v>1476</v>
      </c>
      <c r="O23" s="87">
        <f t="shared" si="4"/>
        <v>1476</v>
      </c>
      <c r="P23" s="87">
        <f t="shared" si="4"/>
        <v>1476</v>
      </c>
      <c r="Q23" s="87">
        <f t="shared" si="4"/>
        <v>1476</v>
      </c>
      <c r="R23" s="87">
        <f t="shared" si="4"/>
        <v>1476</v>
      </c>
      <c r="S23" s="87">
        <f t="shared" si="4"/>
        <v>1476</v>
      </c>
    </row>
    <row r="24" spans="1:19" x14ac:dyDescent="0.35">
      <c r="A24" s="56" t="s">
        <v>158</v>
      </c>
      <c r="B24" s="52">
        <f>'Income Statement'!E15</f>
        <v>1795</v>
      </c>
      <c r="C24" s="52">
        <f>'Income Statement'!F15</f>
        <v>3201</v>
      </c>
      <c r="D24" s="52">
        <f>'Income Statement'!G15</f>
        <v>4705</v>
      </c>
      <c r="E24" s="53">
        <f>E22+E23</f>
        <v>4935.5245598720776</v>
      </c>
      <c r="F24" s="53">
        <f t="shared" ref="F24:S24" si="5">F22+F23</f>
        <v>4982.2844548040157</v>
      </c>
      <c r="G24" s="53">
        <f t="shared" si="5"/>
        <v>4992.7868768893513</v>
      </c>
      <c r="H24" s="53">
        <f t="shared" si="5"/>
        <v>5040.5695700496653</v>
      </c>
      <c r="I24" s="53">
        <f t="shared" si="5"/>
        <v>5082.2967329072326</v>
      </c>
      <c r="J24" s="82">
        <f t="shared" si="5"/>
        <v>5112.4662883350902</v>
      </c>
      <c r="K24" s="82">
        <f t="shared" si="5"/>
        <v>5095.5970427034008</v>
      </c>
      <c r="L24" s="82">
        <f t="shared" si="5"/>
        <v>5151.0372528066582</v>
      </c>
      <c r="M24" s="82">
        <f t="shared" si="5"/>
        <v>5224.7847390298612</v>
      </c>
      <c r="N24" s="82">
        <f t="shared" si="5"/>
        <v>5288.4695850562566</v>
      </c>
      <c r="O24" s="87">
        <f t="shared" si="5"/>
        <v>5218.3369243847501</v>
      </c>
      <c r="P24" s="87">
        <f t="shared" si="5"/>
        <v>5204.229812812393</v>
      </c>
      <c r="Q24" s="87">
        <f t="shared" si="5"/>
        <v>5319.2681533630985</v>
      </c>
      <c r="R24" s="87">
        <f t="shared" si="5"/>
        <v>5363.4813341853387</v>
      </c>
      <c r="S24" s="87">
        <f t="shared" si="5"/>
        <v>5441.0272186480615</v>
      </c>
    </row>
    <row r="25" spans="1:19" x14ac:dyDescent="0.35">
      <c r="A25" s="57"/>
      <c r="B25" s="57"/>
      <c r="C25" s="57"/>
      <c r="D25" s="57"/>
      <c r="E25" s="57"/>
      <c r="F25" s="57"/>
      <c r="G25" s="57"/>
      <c r="H25" s="57"/>
      <c r="I25" s="57"/>
      <c r="J25" s="57"/>
      <c r="K25" s="57"/>
      <c r="L25" s="57"/>
      <c r="M25" s="57"/>
      <c r="N25" s="57"/>
      <c r="O25" s="57"/>
      <c r="P25" s="57"/>
      <c r="Q25" s="57"/>
      <c r="R25" s="57"/>
      <c r="S25" s="57"/>
    </row>
    <row r="26" spans="1:19" x14ac:dyDescent="0.35">
      <c r="A26" s="56" t="s">
        <v>159</v>
      </c>
      <c r="B26" s="52">
        <f>'Income Statement'!E17</f>
        <v>6544</v>
      </c>
      <c r="C26" s="52">
        <f>'Income Statement'!F17</f>
        <v>7822</v>
      </c>
      <c r="D26" s="52">
        <f>'Income Statement'!G17</f>
        <v>10224</v>
      </c>
      <c r="E26" s="53">
        <f t="shared" ref="E26:S26" si="6">E16-E24</f>
        <v>12042.943541062918</v>
      </c>
      <c r="F26" s="53">
        <f t="shared" si="6"/>
        <v>11900.525424727432</v>
      </c>
      <c r="G26" s="53">
        <f t="shared" si="6"/>
        <v>11441.691535502863</v>
      </c>
      <c r="H26" s="53">
        <f t="shared" si="6"/>
        <v>11798.545049811502</v>
      </c>
      <c r="I26" s="53">
        <f t="shared" si="6"/>
        <v>12102.276421205495</v>
      </c>
      <c r="J26" s="82">
        <f>J16-J24</f>
        <v>14496.45366089691</v>
      </c>
      <c r="K26" s="82">
        <f t="shared" si="6"/>
        <v>13139.245149078361</v>
      </c>
      <c r="L26" s="82">
        <f t="shared" si="6"/>
        <v>13102.252556613046</v>
      </c>
      <c r="M26" s="82">
        <f t="shared" si="6"/>
        <v>13528.657395391359</v>
      </c>
      <c r="N26" s="82">
        <f t="shared" si="6"/>
        <v>13890.081369626241</v>
      </c>
      <c r="O26" s="87">
        <f t="shared" si="6"/>
        <v>16423.736468015246</v>
      </c>
      <c r="P26" s="87">
        <f t="shared" si="6"/>
        <v>14923.172562433503</v>
      </c>
      <c r="Q26" s="87">
        <f t="shared" si="6"/>
        <v>15522.627925030973</v>
      </c>
      <c r="R26" s="87">
        <f t="shared" si="6"/>
        <v>15292.300390124854</v>
      </c>
      <c r="S26" s="87">
        <f t="shared" si="6"/>
        <v>15711.202214912781</v>
      </c>
    </row>
    <row r="27" spans="1:19" x14ac:dyDescent="0.35">
      <c r="A27" s="85" t="s">
        <v>354</v>
      </c>
      <c r="B27" s="52">
        <f>'Income Statement'!E20</f>
        <v>73</v>
      </c>
      <c r="C27" s="52">
        <f>'Income Statement'!F20</f>
        <v>43</v>
      </c>
      <c r="D27" s="52">
        <f>'Income Statement'!G20</f>
        <v>97</v>
      </c>
      <c r="E27" s="53">
        <f>E28*E16</f>
        <v>108.39281991044294</v>
      </c>
      <c r="F27" s="53">
        <f t="shared" ref="F27:R27" si="7">F28*F16</f>
        <v>107.78212498178932</v>
      </c>
      <c r="G27" s="53">
        <f t="shared" si="7"/>
        <v>104.91991670193094</v>
      </c>
      <c r="H27" s="53">
        <f t="shared" si="7"/>
        <v>107.50316857746449</v>
      </c>
      <c r="I27" s="53">
        <f t="shared" si="7"/>
        <v>109.70862224189686</v>
      </c>
      <c r="J27" s="82">
        <f>J28*J16</f>
        <v>125.18597767830113</v>
      </c>
      <c r="K27" s="82">
        <f t="shared" si="7"/>
        <v>116.41368078904014</v>
      </c>
      <c r="L27" s="82">
        <f t="shared" si="7"/>
        <v>116.53145285684502</v>
      </c>
      <c r="M27" s="82">
        <f t="shared" si="7"/>
        <v>119.72449245084073</v>
      </c>
      <c r="N27" s="82">
        <f t="shared" si="7"/>
        <v>122.43844423512355</v>
      </c>
      <c r="O27" s="87">
        <f t="shared" si="7"/>
        <v>138.16590223365421</v>
      </c>
      <c r="P27" s="87">
        <f t="shared" si="7"/>
        <v>128.49603909818617</v>
      </c>
      <c r="Q27" s="87">
        <f t="shared" si="7"/>
        <v>133.05746282805853</v>
      </c>
      <c r="R27" s="87">
        <f t="shared" si="7"/>
        <v>131.86928380360041</v>
      </c>
      <c r="S27" s="87">
        <f>S28*S16</f>
        <v>135.03867263325543</v>
      </c>
    </row>
    <row r="28" spans="1:19" x14ac:dyDescent="0.35">
      <c r="A28" s="85" t="s">
        <v>355</v>
      </c>
      <c r="B28" s="94">
        <f>B27/B16</f>
        <v>8.7540472478714482E-3</v>
      </c>
      <c r="C28" s="94">
        <f>C27/C16</f>
        <v>3.9009344098702714E-3</v>
      </c>
      <c r="D28" s="94">
        <f>D27/D16</f>
        <v>6.4974211266662198E-3</v>
      </c>
      <c r="E28" s="94">
        <f>AVERAGE(B28:D28)</f>
        <v>6.3841342614693137E-3</v>
      </c>
      <c r="F28" s="94">
        <f>$E$28</f>
        <v>6.3841342614693137E-3</v>
      </c>
      <c r="G28" s="94">
        <f t="shared" ref="G28:S28" si="8">$E$28</f>
        <v>6.3841342614693137E-3</v>
      </c>
      <c r="H28" s="94">
        <f t="shared" si="8"/>
        <v>6.3841342614693137E-3</v>
      </c>
      <c r="I28" s="94">
        <f t="shared" si="8"/>
        <v>6.3841342614693137E-3</v>
      </c>
      <c r="J28" s="94">
        <f t="shared" si="8"/>
        <v>6.3841342614693137E-3</v>
      </c>
      <c r="K28" s="94">
        <f t="shared" si="8"/>
        <v>6.3841342614693137E-3</v>
      </c>
      <c r="L28" s="94">
        <f t="shared" si="8"/>
        <v>6.3841342614693137E-3</v>
      </c>
      <c r="M28" s="94">
        <f t="shared" si="8"/>
        <v>6.3841342614693137E-3</v>
      </c>
      <c r="N28" s="94">
        <f t="shared" si="8"/>
        <v>6.3841342614693137E-3</v>
      </c>
      <c r="O28" s="94">
        <f t="shared" si="8"/>
        <v>6.3841342614693137E-3</v>
      </c>
      <c r="P28" s="94">
        <f t="shared" si="8"/>
        <v>6.3841342614693137E-3</v>
      </c>
      <c r="Q28" s="94">
        <f t="shared" si="8"/>
        <v>6.3841342614693137E-3</v>
      </c>
      <c r="R28" s="94">
        <f t="shared" si="8"/>
        <v>6.3841342614693137E-3</v>
      </c>
      <c r="S28" s="94">
        <f t="shared" si="8"/>
        <v>6.3841342614693137E-3</v>
      </c>
    </row>
    <row r="29" spans="1:19" x14ac:dyDescent="0.35">
      <c r="A29" s="92"/>
      <c r="B29" s="90"/>
      <c r="C29" s="90"/>
      <c r="D29" s="90"/>
      <c r="E29" s="90"/>
      <c r="F29" s="91"/>
      <c r="G29" s="91"/>
      <c r="H29" s="91"/>
      <c r="I29" s="91"/>
      <c r="J29" s="91"/>
      <c r="K29" s="91"/>
      <c r="L29" s="91"/>
      <c r="M29" s="91"/>
      <c r="N29" s="91"/>
      <c r="O29" s="91"/>
      <c r="P29" s="91"/>
      <c r="Q29" s="91"/>
      <c r="R29" s="91"/>
      <c r="S29" s="91"/>
    </row>
    <row r="30" spans="1:19" s="67" customFormat="1" ht="18" customHeight="1" x14ac:dyDescent="0.35">
      <c r="A30" s="88" t="s">
        <v>356</v>
      </c>
      <c r="B30" s="69"/>
      <c r="C30" s="69"/>
      <c r="D30" s="69"/>
      <c r="E30" s="69"/>
      <c r="F30" s="69"/>
      <c r="G30" s="69"/>
      <c r="H30" s="69"/>
      <c r="I30" s="69"/>
      <c r="J30" s="69"/>
      <c r="K30" s="69"/>
      <c r="L30" s="69"/>
      <c r="M30" s="69"/>
      <c r="N30" s="69"/>
      <c r="O30" s="69"/>
      <c r="P30" s="69"/>
      <c r="Q30" s="69"/>
      <c r="R30" s="69"/>
      <c r="S30" s="70"/>
    </row>
    <row r="31" spans="1:19" x14ac:dyDescent="0.35">
      <c r="A31" s="93" t="s">
        <v>357</v>
      </c>
      <c r="B31" s="52">
        <f>'Income Statement'!E24</f>
        <v>1746</v>
      </c>
      <c r="C31" s="52">
        <f>'Income Statement'!F24</f>
        <v>2850</v>
      </c>
      <c r="D31" s="52">
        <f>'Income Statement'!G24</f>
        <v>5038</v>
      </c>
      <c r="E31" s="53">
        <f>E8*Summary!G19/1000</f>
        <v>5256.7567874999995</v>
      </c>
      <c r="F31" s="53">
        <f>F8*Summary!H19/1000</f>
        <v>5434.0886150624992</v>
      </c>
      <c r="G31" s="53">
        <f>G8*Summary!I19/1000</f>
        <v>5576.0058298546865</v>
      </c>
      <c r="H31" s="53">
        <f>H8*Summary!J19/1000</f>
        <v>5693.8974017086393</v>
      </c>
      <c r="I31" s="53">
        <f>I8*Summary!K19/1000</f>
        <v>5792.4648892014256</v>
      </c>
      <c r="J31" s="82">
        <f>J8*Summary!L19/1000</f>
        <v>5293.9810499999994</v>
      </c>
      <c r="K31" s="82">
        <f>K8*Summary!M19/1000</f>
        <v>5511.3627555000003</v>
      </c>
      <c r="L31" s="82">
        <f>L8*Summary!N19/1000</f>
        <v>5689.1652035400002</v>
      </c>
      <c r="M31" s="82">
        <f>M8*Summary!O19/1000</f>
        <v>5844.3543616184988</v>
      </c>
      <c r="N31" s="82">
        <f>N8*Summary!P19/1000</f>
        <v>5981.4797554614388</v>
      </c>
      <c r="O31" s="87">
        <f>O8*Summary!Q19/1000</f>
        <v>5319.1943624999994</v>
      </c>
      <c r="P31" s="87">
        <f>P8*Summary!R19/1000</f>
        <v>5564.2065268124989</v>
      </c>
      <c r="Q31" s="87">
        <f>Q8*Summary!S19/1000</f>
        <v>5771.5337222915605</v>
      </c>
      <c r="R31" s="87">
        <f>R8*Summary!T19/1000</f>
        <v>5957.8257995177601</v>
      </c>
      <c r="S31" s="87">
        <f>S8*Summary!U19/1000</f>
        <v>6120.4433526854564</v>
      </c>
    </row>
    <row r="32" spans="1:19" x14ac:dyDescent="0.35">
      <c r="A32" s="85" t="s">
        <v>358</v>
      </c>
      <c r="B32" s="52">
        <f>'Income Statement'!E26</f>
        <v>150</v>
      </c>
      <c r="C32" s="52">
        <f>'Income Statement'!F26</f>
        <v>213</v>
      </c>
      <c r="D32" s="52">
        <f>'Income Statement'!G26</f>
        <v>288</v>
      </c>
      <c r="E32" s="53">
        <f>E8*Summary!G17/1000</f>
        <v>210.27027149999998</v>
      </c>
      <c r="F32" s="53">
        <f>F8*Summary!H17/1000</f>
        <v>210.11809311574999</v>
      </c>
      <c r="G32" s="53">
        <f>G8*Summary!I17/1000</f>
        <v>208.17088431457495</v>
      </c>
      <c r="H32" s="53">
        <f>H8*Summary!J17/1000</f>
        <v>204.98030646151096</v>
      </c>
      <c r="I32" s="53">
        <f>I8*Summary!K17/1000</f>
        <v>200.80544949231606</v>
      </c>
      <c r="J32" s="82">
        <f>J8*Summary!L17/1000</f>
        <v>211.759242</v>
      </c>
      <c r="K32" s="82">
        <f>K8*Summary!M17/1000</f>
        <v>213.10602654599998</v>
      </c>
      <c r="L32" s="82">
        <f>L8*Summary!N17/1000</f>
        <v>212.39550093215999</v>
      </c>
      <c r="M32" s="82">
        <f>M8*Summary!O17/1000</f>
        <v>210.39675701826596</v>
      </c>
      <c r="N32" s="82">
        <f>N8*Summary!P17/1000</f>
        <v>207.35796485599647</v>
      </c>
      <c r="O32" s="87">
        <f>O8*Summary!Q17/1000</f>
        <v>212.76777449999997</v>
      </c>
      <c r="P32" s="87">
        <f>P8*Summary!R17/1000</f>
        <v>215.14931903674992</v>
      </c>
      <c r="Q32" s="87">
        <f>Q8*Summary!S17/1000</f>
        <v>215.4705922988849</v>
      </c>
      <c r="R32" s="87">
        <f>R8*Summary!T17/1000</f>
        <v>214.48172878263935</v>
      </c>
      <c r="S32" s="87">
        <f>S8*Summary!U17/1000</f>
        <v>212.17536955976243</v>
      </c>
    </row>
    <row r="33" spans="1:19" x14ac:dyDescent="0.35">
      <c r="A33" s="84" t="s">
        <v>359</v>
      </c>
      <c r="B33" s="52">
        <f>'Income Statement'!E27</f>
        <v>151</v>
      </c>
      <c r="C33" s="52">
        <f>'Income Statement'!F27</f>
        <v>406</v>
      </c>
      <c r="D33" s="52">
        <f>'Income Statement'!G27</f>
        <v>77</v>
      </c>
      <c r="E33" s="53">
        <f>AVERAGE(B33,D33)</f>
        <v>114</v>
      </c>
      <c r="F33" s="53">
        <f>$E$33</f>
        <v>114</v>
      </c>
      <c r="G33" s="53">
        <f t="shared" ref="G33:I33" si="9">$E$33</f>
        <v>114</v>
      </c>
      <c r="H33" s="53">
        <f t="shared" si="9"/>
        <v>114</v>
      </c>
      <c r="I33" s="53">
        <f t="shared" si="9"/>
        <v>114</v>
      </c>
      <c r="J33" s="82">
        <f>$E$33</f>
        <v>114</v>
      </c>
      <c r="K33" s="82">
        <f t="shared" ref="K33:S33" si="10">$E$33</f>
        <v>114</v>
      </c>
      <c r="L33" s="82">
        <f t="shared" si="10"/>
        <v>114</v>
      </c>
      <c r="M33" s="82">
        <f t="shared" si="10"/>
        <v>114</v>
      </c>
      <c r="N33" s="82">
        <f t="shared" si="10"/>
        <v>114</v>
      </c>
      <c r="O33" s="87">
        <f t="shared" si="10"/>
        <v>114</v>
      </c>
      <c r="P33" s="87">
        <f t="shared" si="10"/>
        <v>114</v>
      </c>
      <c r="Q33" s="87">
        <f t="shared" si="10"/>
        <v>114</v>
      </c>
      <c r="R33" s="87">
        <f t="shared" si="10"/>
        <v>114</v>
      </c>
      <c r="S33" s="87">
        <f t="shared" si="10"/>
        <v>114</v>
      </c>
    </row>
    <row r="34" spans="1:19" x14ac:dyDescent="0.35">
      <c r="A34" s="58" t="s">
        <v>160</v>
      </c>
      <c r="B34" s="52">
        <f>'Income Statement'!E28</f>
        <v>2047</v>
      </c>
      <c r="C34" s="52">
        <f>'Income Statement'!F28</f>
        <v>3469</v>
      </c>
      <c r="D34" s="52">
        <f>'Income Statement'!G28</f>
        <v>9055</v>
      </c>
      <c r="E34" s="53">
        <f t="shared" ref="E34:S34" si="11">E31+E32+E33</f>
        <v>5581.0270589999991</v>
      </c>
      <c r="F34" s="53">
        <f t="shared" si="11"/>
        <v>5758.2067081782488</v>
      </c>
      <c r="G34" s="53">
        <f t="shared" si="11"/>
        <v>5898.1767141692617</v>
      </c>
      <c r="H34" s="53">
        <f t="shared" si="11"/>
        <v>6012.8777081701501</v>
      </c>
      <c r="I34" s="53">
        <f t="shared" si="11"/>
        <v>6107.2703386937419</v>
      </c>
      <c r="J34" s="82">
        <f t="shared" si="11"/>
        <v>5619.7402919999995</v>
      </c>
      <c r="K34" s="82">
        <f t="shared" si="11"/>
        <v>5838.4687820460003</v>
      </c>
      <c r="L34" s="82">
        <f t="shared" si="11"/>
        <v>6015.5607044721601</v>
      </c>
      <c r="M34" s="82">
        <f t="shared" si="11"/>
        <v>6168.7511186367647</v>
      </c>
      <c r="N34" s="82">
        <f t="shared" si="11"/>
        <v>6302.837720317435</v>
      </c>
      <c r="O34" s="87">
        <f t="shared" si="11"/>
        <v>5645.9621369999995</v>
      </c>
      <c r="P34" s="87">
        <f t="shared" si="11"/>
        <v>5893.3558458492489</v>
      </c>
      <c r="Q34" s="87">
        <f t="shared" si="11"/>
        <v>6101.0043145904456</v>
      </c>
      <c r="R34" s="87">
        <f t="shared" si="11"/>
        <v>6286.3075283003991</v>
      </c>
      <c r="S34" s="87">
        <f t="shared" si="11"/>
        <v>6446.618722245219</v>
      </c>
    </row>
    <row r="35" spans="1:19" x14ac:dyDescent="0.35">
      <c r="A35" s="59"/>
      <c r="B35" s="59"/>
      <c r="C35" s="59"/>
      <c r="D35" s="59"/>
      <c r="E35" s="59"/>
      <c r="F35" s="59"/>
      <c r="G35" s="59"/>
      <c r="H35" s="59"/>
      <c r="I35" s="59"/>
      <c r="J35" s="59"/>
      <c r="K35" s="59"/>
      <c r="L35" s="59"/>
      <c r="M35" s="59"/>
      <c r="N35" s="59"/>
      <c r="O35" s="59"/>
      <c r="P35" s="59"/>
      <c r="Q35" s="59"/>
      <c r="R35" s="59"/>
      <c r="S35" s="59"/>
    </row>
    <row r="36" spans="1:19" x14ac:dyDescent="0.35">
      <c r="A36" s="58" t="s">
        <v>161</v>
      </c>
      <c r="B36" s="52">
        <f>'Income Statement'!E30</f>
        <v>4570</v>
      </c>
      <c r="C36" s="52">
        <f>'Income Statement'!F30</f>
        <v>4396</v>
      </c>
      <c r="D36" s="52">
        <f>'Income Statement'!G30</f>
        <v>1266</v>
      </c>
      <c r="E36" s="53">
        <f t="shared" ref="E36:S36" si="12">E26+E27-E34</f>
        <v>6570.3093019733615</v>
      </c>
      <c r="F36" s="53">
        <f t="shared" si="12"/>
        <v>6250.1008415309725</v>
      </c>
      <c r="G36" s="53">
        <f t="shared" si="12"/>
        <v>5648.4347380355321</v>
      </c>
      <c r="H36" s="53">
        <f t="shared" si="12"/>
        <v>5893.1705102188171</v>
      </c>
      <c r="I36" s="53">
        <f t="shared" si="12"/>
        <v>6104.71470475365</v>
      </c>
      <c r="J36" s="82">
        <f t="shared" si="12"/>
        <v>9001.8993465752101</v>
      </c>
      <c r="K36" s="82">
        <f t="shared" si="12"/>
        <v>7417.1900478214011</v>
      </c>
      <c r="L36" s="82">
        <f t="shared" si="12"/>
        <v>7203.2233049977312</v>
      </c>
      <c r="M36" s="82">
        <f t="shared" si="12"/>
        <v>7479.6307692054361</v>
      </c>
      <c r="N36" s="82">
        <f t="shared" si="12"/>
        <v>7709.68209354393</v>
      </c>
      <c r="O36" s="87">
        <f t="shared" si="12"/>
        <v>10915.940233248901</v>
      </c>
      <c r="P36" s="87">
        <f t="shared" si="12"/>
        <v>9158.3127556824402</v>
      </c>
      <c r="Q36" s="87">
        <f t="shared" si="12"/>
        <v>9554.6810732685863</v>
      </c>
      <c r="R36" s="87">
        <f t="shared" si="12"/>
        <v>9137.8621456280562</v>
      </c>
      <c r="S36" s="87">
        <f t="shared" si="12"/>
        <v>9399.6221653008179</v>
      </c>
    </row>
    <row r="37" spans="1:19" x14ac:dyDescent="0.35">
      <c r="A37" s="59"/>
      <c r="B37" s="59"/>
      <c r="C37" s="59"/>
      <c r="D37" s="197"/>
      <c r="E37" s="59"/>
      <c r="F37" s="59"/>
      <c r="G37" s="59"/>
      <c r="H37" s="59"/>
      <c r="I37" s="59"/>
      <c r="J37" s="59"/>
      <c r="K37" s="59"/>
      <c r="L37" s="59"/>
      <c r="M37" s="59"/>
      <c r="N37" s="59"/>
      <c r="O37" s="59"/>
      <c r="P37" s="59"/>
      <c r="Q37" s="59"/>
      <c r="R37" s="59"/>
      <c r="S37" s="59"/>
    </row>
    <row r="38" spans="1:19" x14ac:dyDescent="0.35">
      <c r="A38" s="51" t="s">
        <v>162</v>
      </c>
      <c r="B38" s="52">
        <f>'Income Statement'!E32</f>
        <v>-159</v>
      </c>
      <c r="C38" s="52">
        <f>'Income Statement'!F32</f>
        <v>-135</v>
      </c>
      <c r="D38" s="52">
        <f>'Income Statement'!G32</f>
        <v>-244</v>
      </c>
      <c r="E38" s="53">
        <f>-E39*(Forecast_BS!E22+Forecast_BS!E29)</f>
        <v>-221.62335476206172</v>
      </c>
      <c r="F38" s="53">
        <f>-F39*(Forecast_BS!F22+Forecast_BS!F29)</f>
        <v>-196.02977310503712</v>
      </c>
      <c r="G38" s="53">
        <f>-G39*(Forecast_BS!G22+Forecast_BS!G29)</f>
        <v>-170.43619144801252</v>
      </c>
      <c r="H38" s="53">
        <f>-H39*(Forecast_BS!H22+Forecast_BS!H29)</f>
        <v>-144.84260979098792</v>
      </c>
      <c r="I38" s="53">
        <f>-I39*(Forecast_BS!I22+Forecast_BS!I29)</f>
        <v>-119.24902813396331</v>
      </c>
      <c r="J38" s="82">
        <f>-J39*(Forecast_BS!J22+Forecast_BS!J29)</f>
        <v>-221.62335476206172</v>
      </c>
      <c r="K38" s="82">
        <f>-K39*(Forecast_BS!K22+Forecast_BS!K29)</f>
        <v>-196.02977310503712</v>
      </c>
      <c r="L38" s="82">
        <f>-L39*(Forecast_BS!L22+Forecast_BS!L29)</f>
        <v>-170.43619144801252</v>
      </c>
      <c r="M38" s="82">
        <f>-M39*(Forecast_BS!M22+Forecast_BS!M29)</f>
        <v>-144.84260979098792</v>
      </c>
      <c r="N38" s="82">
        <f>-N39*(Forecast_BS!N22+Forecast_BS!N29)</f>
        <v>-119.24902813396331</v>
      </c>
      <c r="O38" s="87">
        <f>-O39*(Forecast_BS!O22+Forecast_BS!O29)</f>
        <v>-221.62335476206172</v>
      </c>
      <c r="P38" s="87">
        <f>-P39*(Forecast_BS!P22+Forecast_BS!P29)</f>
        <v>-196.02977310503712</v>
      </c>
      <c r="Q38" s="87">
        <f>-Q39*(Forecast_BS!Q22+Forecast_BS!Q29)</f>
        <v>-170.43619144801252</v>
      </c>
      <c r="R38" s="87">
        <f>-R39*(Forecast_BS!R22+Forecast_BS!R29)</f>
        <v>-144.84260979098792</v>
      </c>
      <c r="S38" s="87">
        <f>-S39*(Forecast_BS!S22+Forecast_BS!S29)</f>
        <v>-119.24902813396331</v>
      </c>
    </row>
    <row r="39" spans="1:19" s="67" customFormat="1" x14ac:dyDescent="0.35">
      <c r="A39" s="95" t="s">
        <v>360</v>
      </c>
      <c r="B39" s="90">
        <f>-B38/Forecast_BS!B29</f>
        <v>2.3942177382924257E-2</v>
      </c>
      <c r="C39" s="90">
        <f>-C38/(Forecast_BS!C22+Forecast_BS!C29)</f>
        <v>1.0404624277456647E-2</v>
      </c>
      <c r="D39" s="90">
        <f>-D38/(Forecast_BS!D22+Forecast_BS!D29)</f>
        <v>1.6840361653668302E-2</v>
      </c>
      <c r="E39" s="90">
        <f>AVERAGE(B39:D39)</f>
        <v>1.7062387771349736E-2</v>
      </c>
      <c r="F39" s="90">
        <f>$E$39</f>
        <v>1.7062387771349736E-2</v>
      </c>
      <c r="G39" s="90">
        <f t="shared" ref="G39:S39" si="13">$E$39</f>
        <v>1.7062387771349736E-2</v>
      </c>
      <c r="H39" s="90">
        <f t="shared" si="13"/>
        <v>1.7062387771349736E-2</v>
      </c>
      <c r="I39" s="90">
        <f t="shared" si="13"/>
        <v>1.7062387771349736E-2</v>
      </c>
      <c r="J39" s="90">
        <f t="shared" si="13"/>
        <v>1.7062387771349736E-2</v>
      </c>
      <c r="K39" s="90">
        <f t="shared" si="13"/>
        <v>1.7062387771349736E-2</v>
      </c>
      <c r="L39" s="90">
        <f t="shared" si="13"/>
        <v>1.7062387771349736E-2</v>
      </c>
      <c r="M39" s="90">
        <f t="shared" si="13"/>
        <v>1.7062387771349736E-2</v>
      </c>
      <c r="N39" s="90">
        <f t="shared" si="13"/>
        <v>1.7062387771349736E-2</v>
      </c>
      <c r="O39" s="90">
        <f t="shared" si="13"/>
        <v>1.7062387771349736E-2</v>
      </c>
      <c r="P39" s="90">
        <f t="shared" si="13"/>
        <v>1.7062387771349736E-2</v>
      </c>
      <c r="Q39" s="90">
        <f t="shared" si="13"/>
        <v>1.7062387771349736E-2</v>
      </c>
      <c r="R39" s="90">
        <f t="shared" si="13"/>
        <v>1.7062387771349736E-2</v>
      </c>
      <c r="S39" s="90">
        <f t="shared" si="13"/>
        <v>1.7062387771349736E-2</v>
      </c>
    </row>
    <row r="40" spans="1:19" x14ac:dyDescent="0.35">
      <c r="A40" s="54" t="s">
        <v>163</v>
      </c>
      <c r="B40" s="52">
        <f>'Income Statement'!E35</f>
        <v>100</v>
      </c>
      <c r="C40" s="52">
        <f>'Income Statement'!F35</f>
        <v>101</v>
      </c>
      <c r="D40" s="52">
        <f>'Income Statement'!G35</f>
        <v>455</v>
      </c>
      <c r="E40" s="53">
        <f>100</f>
        <v>100</v>
      </c>
      <c r="F40" s="53">
        <f>100</f>
        <v>100</v>
      </c>
      <c r="G40" s="53">
        <f>100</f>
        <v>100</v>
      </c>
      <c r="H40" s="53">
        <f>100</f>
        <v>100</v>
      </c>
      <c r="I40" s="53">
        <f>100</f>
        <v>100</v>
      </c>
      <c r="J40" s="82">
        <f>100</f>
        <v>100</v>
      </c>
      <c r="K40" s="82">
        <f>100</f>
        <v>100</v>
      </c>
      <c r="L40" s="82">
        <f>100</f>
        <v>100</v>
      </c>
      <c r="M40" s="82">
        <f>100</f>
        <v>100</v>
      </c>
      <c r="N40" s="82">
        <f>100</f>
        <v>100</v>
      </c>
      <c r="O40" s="87">
        <f>100</f>
        <v>100</v>
      </c>
      <c r="P40" s="87">
        <f>100</f>
        <v>100</v>
      </c>
      <c r="Q40" s="87">
        <f>100</f>
        <v>100</v>
      </c>
      <c r="R40" s="87">
        <f>100</f>
        <v>100</v>
      </c>
      <c r="S40" s="87">
        <f>100</f>
        <v>100</v>
      </c>
    </row>
    <row r="41" spans="1:19" x14ac:dyDescent="0.35">
      <c r="A41" s="59"/>
      <c r="B41" s="59"/>
      <c r="C41" s="59"/>
      <c r="D41" s="59"/>
      <c r="E41" s="59"/>
      <c r="F41" s="59"/>
      <c r="G41" s="59"/>
      <c r="H41" s="59"/>
      <c r="I41" s="59"/>
      <c r="J41" s="59"/>
      <c r="K41" s="59"/>
      <c r="L41" s="59"/>
      <c r="M41" s="59"/>
      <c r="N41" s="59"/>
      <c r="O41" s="59"/>
      <c r="P41" s="59"/>
      <c r="Q41" s="59"/>
      <c r="R41" s="59"/>
      <c r="S41" s="59"/>
    </row>
    <row r="42" spans="1:19" x14ac:dyDescent="0.35">
      <c r="A42" s="56" t="s">
        <v>164</v>
      </c>
      <c r="B42" s="52">
        <f>'Income Statement'!E40</f>
        <v>4248</v>
      </c>
      <c r="C42" s="52">
        <f>'Income Statement'!F40</f>
        <v>4501</v>
      </c>
      <c r="D42" s="52">
        <f>'Income Statement'!G40</f>
        <v>1874</v>
      </c>
      <c r="E42" s="53">
        <f>E36+E38+E40</f>
        <v>6448.6859472113001</v>
      </c>
      <c r="F42" s="53">
        <f t="shared" ref="F42:S42" si="14">F36+F38+F40</f>
        <v>6154.0710684259357</v>
      </c>
      <c r="G42" s="53">
        <f t="shared" si="14"/>
        <v>5577.9985465875197</v>
      </c>
      <c r="H42" s="53">
        <f t="shared" si="14"/>
        <v>5848.3279004278293</v>
      </c>
      <c r="I42" s="53">
        <f t="shared" si="14"/>
        <v>6085.4656766196867</v>
      </c>
      <c r="J42" s="82">
        <f t="shared" si="14"/>
        <v>8880.2759918131487</v>
      </c>
      <c r="K42" s="82">
        <f t="shared" si="14"/>
        <v>7321.1602747163643</v>
      </c>
      <c r="L42" s="82">
        <f t="shared" si="14"/>
        <v>7132.7871135497189</v>
      </c>
      <c r="M42" s="82">
        <f t="shared" si="14"/>
        <v>7434.7881594144483</v>
      </c>
      <c r="N42" s="82">
        <f t="shared" si="14"/>
        <v>7690.4330654099667</v>
      </c>
      <c r="O42" s="87">
        <f t="shared" si="14"/>
        <v>10794.316878486839</v>
      </c>
      <c r="P42" s="87">
        <f t="shared" si="14"/>
        <v>9062.2829825774024</v>
      </c>
      <c r="Q42" s="87">
        <f t="shared" si="14"/>
        <v>9484.2448818205739</v>
      </c>
      <c r="R42" s="87">
        <f t="shared" si="14"/>
        <v>9093.0195358370675</v>
      </c>
      <c r="S42" s="87">
        <f t="shared" si="14"/>
        <v>9380.3731371668546</v>
      </c>
    </row>
    <row r="43" spans="1:19" x14ac:dyDescent="0.35">
      <c r="A43" s="85" t="s">
        <v>165</v>
      </c>
      <c r="B43" s="52">
        <f>'Income Statement'!E42</f>
        <v>912</v>
      </c>
      <c r="C43" s="52">
        <f>'Income Statement'!F42</f>
        <v>800</v>
      </c>
      <c r="D43" s="52">
        <f>'Income Statement'!G42</f>
        <v>327</v>
      </c>
      <c r="E43" s="53">
        <f>IF(E42&gt;0,E42*Summary!G23,0)</f>
        <v>1289.7371894422602</v>
      </c>
      <c r="F43" s="53">
        <f>IF(F42&gt;0,F42*Summary!H23,0)</f>
        <v>1230.8142136851873</v>
      </c>
      <c r="G43" s="53">
        <f>IF(G42&gt;0,G42*Summary!I23,0)</f>
        <v>1115.599709317504</v>
      </c>
      <c r="H43" s="53">
        <f>IF(H42&gt;0,H42*Summary!J23,0)</f>
        <v>1169.6655800855658</v>
      </c>
      <c r="I43" s="53">
        <f>IF(I42&gt;0,I42*Summary!K23,0)</f>
        <v>1217.0931353239373</v>
      </c>
      <c r="J43" s="82">
        <f>IF(J42&gt;0,J42*Summary!L23,0)</f>
        <v>1776.0551983626299</v>
      </c>
      <c r="K43" s="82">
        <f>IF(K42&gt;0,K42*Summary!M23,0)</f>
        <v>1464.2320549432729</v>
      </c>
      <c r="L43" s="82">
        <f>IF(L42&gt;0,L42*Summary!N23,0)</f>
        <v>1426.5574227099439</v>
      </c>
      <c r="M43" s="82">
        <f>IF(M42&gt;0,M42*Summary!O23,0)</f>
        <v>1486.9576318828897</v>
      </c>
      <c r="N43" s="82">
        <f>IF(N42&gt;0,N42*Summary!P23,0)</f>
        <v>1538.0866130819934</v>
      </c>
      <c r="O43" s="87">
        <f>IF(O42&gt;0,O42*Summary!Q23,0)</f>
        <v>2158.8633756973682</v>
      </c>
      <c r="P43" s="87">
        <f>IF(P42&gt;0,P42*Summary!R23,0)</f>
        <v>1812.4565965154807</v>
      </c>
      <c r="Q43" s="87">
        <f>IF(Q42&gt;0,Q42*Summary!S23,0)</f>
        <v>1896.8489763641148</v>
      </c>
      <c r="R43" s="87">
        <f>IF(R42&gt;0,R42*Summary!T23,0)</f>
        <v>1818.6039071674136</v>
      </c>
      <c r="S43" s="87">
        <f>IF(S42&gt;0,S42*Summary!U23,0)</f>
        <v>1876.074627433371</v>
      </c>
    </row>
    <row r="44" spans="1:19" x14ac:dyDescent="0.35">
      <c r="A44" s="56" t="s">
        <v>166</v>
      </c>
      <c r="B44" s="52">
        <f>'Income Statement'!E44</f>
        <v>3336</v>
      </c>
      <c r="C44" s="52">
        <f>'Income Statement'!F44</f>
        <v>3701</v>
      </c>
      <c r="D44" s="52">
        <f>'Income Statement'!G44</f>
        <v>1547</v>
      </c>
      <c r="E44" s="53">
        <f>E42-E43</f>
        <v>5158.9487577690397</v>
      </c>
      <c r="F44" s="53">
        <f t="shared" ref="F44:S44" si="15">F42-F43</f>
        <v>4923.2568547407482</v>
      </c>
      <c r="G44" s="53">
        <f t="shared" si="15"/>
        <v>4462.398837270016</v>
      </c>
      <c r="H44" s="53">
        <f t="shared" si="15"/>
        <v>4678.6623203422632</v>
      </c>
      <c r="I44" s="53">
        <f t="shared" si="15"/>
        <v>4868.3725412957492</v>
      </c>
      <c r="J44" s="82">
        <f t="shared" si="15"/>
        <v>7104.2207934505186</v>
      </c>
      <c r="K44" s="82">
        <f t="shared" si="15"/>
        <v>5856.9282197730918</v>
      </c>
      <c r="L44" s="82">
        <f t="shared" si="15"/>
        <v>5706.2296908397748</v>
      </c>
      <c r="M44" s="82">
        <f t="shared" si="15"/>
        <v>5947.8305275315588</v>
      </c>
      <c r="N44" s="82">
        <f t="shared" si="15"/>
        <v>6152.3464523279736</v>
      </c>
      <c r="O44" s="87">
        <f t="shared" si="15"/>
        <v>8635.4535027894708</v>
      </c>
      <c r="P44" s="87">
        <f t="shared" si="15"/>
        <v>7249.8263860619218</v>
      </c>
      <c r="Q44" s="87">
        <f t="shared" si="15"/>
        <v>7587.3959054564593</v>
      </c>
      <c r="R44" s="87">
        <f t="shared" si="15"/>
        <v>7274.4156286696543</v>
      </c>
      <c r="S44" s="87">
        <f t="shared" si="15"/>
        <v>7504.298509733484</v>
      </c>
    </row>
    <row r="45" spans="1:19" x14ac:dyDescent="0.35">
      <c r="A45" s="85" t="s">
        <v>361</v>
      </c>
      <c r="B45" s="52">
        <f>'Income Statement'!E45</f>
        <v>193</v>
      </c>
      <c r="C45" s="52">
        <f>'Income Statement'!F45</f>
        <v>363</v>
      </c>
      <c r="D45" s="52">
        <f>'Income Statement'!G45</f>
        <v>-117</v>
      </c>
      <c r="E45" s="53">
        <f t="shared" ref="E45:S45" si="16">E14*E46</f>
        <v>310.04936201869992</v>
      </c>
      <c r="F45" s="53">
        <f t="shared" si="16"/>
        <v>308.13619759062897</v>
      </c>
      <c r="G45" s="53">
        <f t="shared" si="16"/>
        <v>299.16956824784432</v>
      </c>
      <c r="H45" s="53">
        <f t="shared" si="16"/>
        <v>307.26229239722335</v>
      </c>
      <c r="I45" s="53">
        <f t="shared" si="16"/>
        <v>314.17146308225455</v>
      </c>
      <c r="J45" s="82">
        <f t="shared" si="16"/>
        <v>362.65839898464003</v>
      </c>
      <c r="K45" s="82">
        <f t="shared" si="16"/>
        <v>335.17684383563522</v>
      </c>
      <c r="L45" s="82">
        <f t="shared" si="16"/>
        <v>335.54579618839409</v>
      </c>
      <c r="M45" s="82">
        <f t="shared" si="16"/>
        <v>345.54884268842443</v>
      </c>
      <c r="N45" s="82">
        <f t="shared" si="16"/>
        <v>354.05101909364998</v>
      </c>
      <c r="O45" s="87">
        <f t="shared" si="16"/>
        <v>403.32146784799988</v>
      </c>
      <c r="P45" s="87">
        <f t="shared" si="16"/>
        <v>373.02804750491794</v>
      </c>
      <c r="Q45" s="87">
        <f t="shared" si="16"/>
        <v>387.31792156788146</v>
      </c>
      <c r="R45" s="87">
        <f t="shared" si="16"/>
        <v>383.59563448620383</v>
      </c>
      <c r="S45" s="87">
        <f t="shared" si="16"/>
        <v>393.52458867121686</v>
      </c>
    </row>
    <row r="46" spans="1:19" s="67" customFormat="1" x14ac:dyDescent="0.35">
      <c r="A46" s="95" t="s">
        <v>362</v>
      </c>
      <c r="B46" s="90">
        <f>B45/B14</f>
        <v>2.345649003403014E-2</v>
      </c>
      <c r="C46" s="90">
        <f>C45/C14</f>
        <v>3.5940594059405938E-2</v>
      </c>
      <c r="D46" s="90">
        <f>D45/D14</f>
        <v>-8.6969449193488434E-3</v>
      </c>
      <c r="E46" s="96">
        <v>0.02</v>
      </c>
      <c r="F46" s="96">
        <f t="shared" ref="F46:S46" si="17">$E$46</f>
        <v>0.02</v>
      </c>
      <c r="G46" s="96">
        <f t="shared" si="17"/>
        <v>0.02</v>
      </c>
      <c r="H46" s="96">
        <f t="shared" si="17"/>
        <v>0.02</v>
      </c>
      <c r="I46" s="96">
        <f t="shared" si="17"/>
        <v>0.02</v>
      </c>
      <c r="J46" s="96">
        <f t="shared" si="17"/>
        <v>0.02</v>
      </c>
      <c r="K46" s="96">
        <f t="shared" si="17"/>
        <v>0.02</v>
      </c>
      <c r="L46" s="96">
        <f t="shared" si="17"/>
        <v>0.02</v>
      </c>
      <c r="M46" s="96">
        <f t="shared" si="17"/>
        <v>0.02</v>
      </c>
      <c r="N46" s="96">
        <f t="shared" si="17"/>
        <v>0.02</v>
      </c>
      <c r="O46" s="96">
        <f t="shared" si="17"/>
        <v>0.02</v>
      </c>
      <c r="P46" s="96">
        <f t="shared" si="17"/>
        <v>0.02</v>
      </c>
      <c r="Q46" s="96">
        <f t="shared" si="17"/>
        <v>0.02</v>
      </c>
      <c r="R46" s="96">
        <f t="shared" si="17"/>
        <v>0.02</v>
      </c>
      <c r="S46" s="96">
        <f t="shared" si="17"/>
        <v>0.02</v>
      </c>
    </row>
    <row r="47" spans="1:19" x14ac:dyDescent="0.35">
      <c r="A47" s="60" t="s">
        <v>167</v>
      </c>
      <c r="B47" s="52">
        <f>'Income Statement'!E46</f>
        <v>3143</v>
      </c>
      <c r="C47" s="52">
        <f>'Income Statement'!F46</f>
        <v>3338</v>
      </c>
      <c r="D47" s="52">
        <f>'Income Statement'!G46</f>
        <v>1664</v>
      </c>
      <c r="E47" s="53">
        <f t="shared" ref="E47:S47" si="18">E44-E45</f>
        <v>4848.8993957503399</v>
      </c>
      <c r="F47" s="53">
        <f t="shared" si="18"/>
        <v>4615.1206571501189</v>
      </c>
      <c r="G47" s="53">
        <f t="shared" si="18"/>
        <v>4163.229269022172</v>
      </c>
      <c r="H47" s="53">
        <f t="shared" si="18"/>
        <v>4371.4000279450402</v>
      </c>
      <c r="I47" s="53">
        <f t="shared" si="18"/>
        <v>4554.2010782134948</v>
      </c>
      <c r="J47" s="82">
        <f t="shared" si="18"/>
        <v>6741.5623944658782</v>
      </c>
      <c r="K47" s="82">
        <f t="shared" si="18"/>
        <v>5521.7513759374569</v>
      </c>
      <c r="L47" s="82">
        <f t="shared" si="18"/>
        <v>5370.6838946513808</v>
      </c>
      <c r="M47" s="82">
        <f t="shared" si="18"/>
        <v>5602.2816848431339</v>
      </c>
      <c r="N47" s="82">
        <f t="shared" si="18"/>
        <v>5798.2954332343234</v>
      </c>
      <c r="O47" s="87">
        <f t="shared" si="18"/>
        <v>8232.1320349414709</v>
      </c>
      <c r="P47" s="87">
        <f t="shared" si="18"/>
        <v>6876.7983385570042</v>
      </c>
      <c r="Q47" s="87">
        <f t="shared" si="18"/>
        <v>7200.0779838885783</v>
      </c>
      <c r="R47" s="87">
        <f t="shared" si="18"/>
        <v>6890.81999418345</v>
      </c>
      <c r="S47" s="87">
        <f t="shared" si="18"/>
        <v>7110.7739210622676</v>
      </c>
    </row>
    <row r="48" spans="1:19" x14ac:dyDescent="0.35">
      <c r="A48" s="59"/>
      <c r="B48" s="59"/>
      <c r="C48" s="59"/>
      <c r="D48" s="59"/>
      <c r="E48" s="59"/>
      <c r="F48" s="59"/>
      <c r="G48" s="59"/>
      <c r="H48" s="59"/>
      <c r="I48" s="59"/>
      <c r="J48" s="59"/>
      <c r="K48" s="59"/>
      <c r="L48" s="59"/>
      <c r="M48" s="59"/>
      <c r="N48" s="59"/>
      <c r="O48" s="59"/>
      <c r="P48" s="59"/>
      <c r="Q48" s="59"/>
      <c r="R48" s="59"/>
      <c r="S48" s="59"/>
    </row>
    <row r="49" spans="1:19" s="42" customFormat="1" ht="18" customHeight="1" x14ac:dyDescent="0.35">
      <c r="A49" s="263"/>
      <c r="B49" s="264"/>
      <c r="C49" s="264"/>
      <c r="D49" s="264"/>
      <c r="E49" s="264"/>
      <c r="F49" s="264"/>
      <c r="G49" s="264"/>
      <c r="H49" s="264"/>
      <c r="I49" s="264"/>
      <c r="J49" s="264"/>
      <c r="K49" s="264"/>
      <c r="L49" s="264"/>
      <c r="M49" s="264"/>
      <c r="N49" s="264"/>
      <c r="O49" s="264"/>
      <c r="P49" s="264"/>
      <c r="Q49" s="264"/>
      <c r="R49" s="264"/>
      <c r="S49" s="265"/>
    </row>
    <row r="50" spans="1:19" x14ac:dyDescent="0.35">
      <c r="A50" s="51" t="s">
        <v>168</v>
      </c>
      <c r="B50" s="52">
        <f>'Income Statement'!E53</f>
        <v>179999</v>
      </c>
      <c r="C50" s="52">
        <f>'Income Statement'!F53</f>
        <v>213545</v>
      </c>
      <c r="D50" s="52">
        <f>'Income Statement'!G53</f>
        <v>289079</v>
      </c>
      <c r="E50" s="53">
        <f>D50+Forecast_CF!E26*1000/170</f>
        <v>276726.0588235294</v>
      </c>
      <c r="F50" s="53">
        <f>E50+Forecast_CF!F26*1000/170</f>
        <v>267902.5294117647</v>
      </c>
      <c r="G50" s="53">
        <f>F50+Forecast_CF!G26*1000/170</f>
        <v>260843.70588235292</v>
      </c>
      <c r="H50" s="53">
        <f>G50+Forecast_CF!H26*1000/170</f>
        <v>254961.35294117645</v>
      </c>
      <c r="I50" s="53">
        <f>H50+Forecast_CF!I26*1000/170</f>
        <v>249078.99999999997</v>
      </c>
      <c r="J50" s="82">
        <f>D50+Forecast_CF!J26*1000/170</f>
        <v>276726.0588235294</v>
      </c>
      <c r="K50" s="82">
        <f>E50+Forecast_CF!K26*1000/170</f>
        <v>267902.5294117647</v>
      </c>
      <c r="L50" s="82">
        <f>F50+Forecast_CF!L26*1000/170</f>
        <v>260843.70588235292</v>
      </c>
      <c r="M50" s="82">
        <f>G50+Forecast_CF!M26*1000/170</f>
        <v>254961.35294117645</v>
      </c>
      <c r="N50" s="82">
        <f>H50+Forecast_CF!N26*1000/170</f>
        <v>249078.99999999997</v>
      </c>
      <c r="O50" s="87">
        <f>D50+Forecast_CF!O26*1000/170</f>
        <v>276726.0588235294</v>
      </c>
      <c r="P50" s="87">
        <f>E50+Forecast_CF!P26*1000/170</f>
        <v>267902.5294117647</v>
      </c>
      <c r="Q50" s="87">
        <f>F50+Forecast_CF!Q26*1000/170</f>
        <v>260843.70588235292</v>
      </c>
      <c r="R50" s="87">
        <f>G50+Forecast_CF!R26*1000/170</f>
        <v>254961.35294117645</v>
      </c>
      <c r="S50" s="87">
        <f>H50+Forecast_CF!S26*1000/170</f>
        <v>249078.99999999997</v>
      </c>
    </row>
    <row r="51" spans="1:19" x14ac:dyDescent="0.35">
      <c r="A51" s="55" t="s">
        <v>169</v>
      </c>
      <c r="B51" s="61">
        <f>'Income Statement'!E49</f>
        <v>17.34</v>
      </c>
      <c r="C51" s="61">
        <f>'Income Statement'!F49</f>
        <v>15.53</v>
      </c>
      <c r="D51" s="61">
        <f>'Income Statement'!G49</f>
        <v>5.73</v>
      </c>
      <c r="E51" s="62">
        <f t="shared" ref="E51:S51" si="19">IF(E50&gt;0,E47/(E50/1000),0)</f>
        <v>17.522380856956175</v>
      </c>
      <c r="F51" s="62">
        <f t="shared" si="19"/>
        <v>17.226864812674851</v>
      </c>
      <c r="G51" s="62">
        <f t="shared" si="19"/>
        <v>15.960627667588396</v>
      </c>
      <c r="H51" s="62">
        <f t="shared" si="19"/>
        <v>17.145343706085487</v>
      </c>
      <c r="I51" s="62">
        <f t="shared" si="19"/>
        <v>18.284163169972157</v>
      </c>
      <c r="J51" s="97">
        <f t="shared" si="19"/>
        <v>24.361863219990536</v>
      </c>
      <c r="K51" s="97">
        <f t="shared" si="19"/>
        <v>20.611046069858325</v>
      </c>
      <c r="L51" s="97">
        <f t="shared" si="19"/>
        <v>20.589662596933408</v>
      </c>
      <c r="M51" s="97">
        <f t="shared" si="19"/>
        <v>21.973062270875491</v>
      </c>
      <c r="N51" s="97">
        <f t="shared" si="19"/>
        <v>23.278941352881311</v>
      </c>
      <c r="O51" s="99">
        <f t="shared" si="19"/>
        <v>29.748308019633136</v>
      </c>
      <c r="P51" s="99">
        <f t="shared" si="19"/>
        <v>25.669031022799352</v>
      </c>
      <c r="Q51" s="99">
        <f t="shared" si="19"/>
        <v>27.603035156753961</v>
      </c>
      <c r="R51" s="99">
        <f t="shared" si="19"/>
        <v>27.026919627984832</v>
      </c>
      <c r="S51" s="99">
        <f t="shared" si="19"/>
        <v>28.54826750172543</v>
      </c>
    </row>
    <row r="52" spans="1:19" x14ac:dyDescent="0.35">
      <c r="A52" s="58" t="s">
        <v>170</v>
      </c>
      <c r="B52" s="52">
        <f>'Income Statement'!E30+'Income Statement'!E24</f>
        <v>6316</v>
      </c>
      <c r="C52" s="52">
        <f>'Income Statement'!F30+'Income Statement'!F24</f>
        <v>7246</v>
      </c>
      <c r="D52" s="52">
        <f>'Income Statement'!G30+'Income Statement'!G24+'Income Statement'!G25</f>
        <v>9956</v>
      </c>
      <c r="E52" s="53">
        <f t="shared" ref="E52:S52" si="20">E36+E31</f>
        <v>11827.066089473361</v>
      </c>
      <c r="F52" s="53">
        <f t="shared" si="20"/>
        <v>11684.189456593471</v>
      </c>
      <c r="G52" s="53">
        <f t="shared" si="20"/>
        <v>11224.440567890219</v>
      </c>
      <c r="H52" s="53">
        <f t="shared" si="20"/>
        <v>11587.067911927457</v>
      </c>
      <c r="I52" s="53">
        <f t="shared" si="20"/>
        <v>11897.179593955076</v>
      </c>
      <c r="J52" s="82">
        <f t="shared" si="20"/>
        <v>14295.880396575209</v>
      </c>
      <c r="K52" s="82">
        <f t="shared" si="20"/>
        <v>12928.552803321401</v>
      </c>
      <c r="L52" s="82">
        <f t="shared" si="20"/>
        <v>12892.388508537731</v>
      </c>
      <c r="M52" s="82">
        <f t="shared" si="20"/>
        <v>13323.985130823934</v>
      </c>
      <c r="N52" s="82">
        <f t="shared" si="20"/>
        <v>13691.16184900537</v>
      </c>
      <c r="O52" s="87">
        <f t="shared" si="20"/>
        <v>16235.134595748899</v>
      </c>
      <c r="P52" s="87">
        <f t="shared" si="20"/>
        <v>14722.519282494939</v>
      </c>
      <c r="Q52" s="87">
        <f t="shared" si="20"/>
        <v>15326.214795560147</v>
      </c>
      <c r="R52" s="87">
        <f t="shared" si="20"/>
        <v>15095.687945145815</v>
      </c>
      <c r="S52" s="87">
        <f t="shared" si="20"/>
        <v>15520.065517986273</v>
      </c>
    </row>
    <row r="53" spans="1:19" x14ac:dyDescent="0.35">
      <c r="A53" s="54" t="s">
        <v>171</v>
      </c>
      <c r="B53" s="63">
        <f>IF('Income Statement'!E4+'Income Statement'!E5+'Income Statement'!E6&gt;0,('Income Statement'!E30+'Income Statement'!E24)/('Income Statement'!E4+'Income Statement'!E5+'Income Statement'!E6),0)</f>
        <v>0.76762275157997084</v>
      </c>
      <c r="C53" s="63">
        <f>IF('Income Statement'!F4+'Income Statement'!F5+'Income Statement'!F6&gt;0,('Income Statement'!F30+'Income Statement'!F24)/('Income Statement'!F4+'Income Statement'!F5+'Income Statement'!F6),0)</f>
        <v>0.7174257425742574</v>
      </c>
      <c r="D53" s="63">
        <f>IF('Income Statement'!G4+'Income Statement'!G5+'Income Statement'!G6&gt;0,('Income Statement'!G30+'Income Statement'!G24+'Income Statement'!G25)/('Income Statement'!G4+'Income Statement'!G5+'Income Statement'!G6),0)</f>
        <v>0.74005797963279563</v>
      </c>
      <c r="E53" s="64">
        <f>IF(E14&gt;0,E52/E14,0)</f>
        <v>0.76291504117076925</v>
      </c>
      <c r="F53" s="64">
        <f t="shared" ref="F53:S53" si="21">IF(F14&gt;0,F52/F14,0)</f>
        <v>0.75837824624008476</v>
      </c>
      <c r="G53" s="64">
        <f t="shared" si="21"/>
        <v>0.75037315015887129</v>
      </c>
      <c r="H53" s="64">
        <f t="shared" si="21"/>
        <v>0.75421346508395481</v>
      </c>
      <c r="I53" s="64">
        <f t="shared" si="21"/>
        <v>0.75736857047644868</v>
      </c>
      <c r="J53" s="98">
        <f t="shared" si="21"/>
        <v>0.78839373011078084</v>
      </c>
      <c r="K53" s="98">
        <f t="shared" si="21"/>
        <v>0.77144665815048574</v>
      </c>
      <c r="L53" s="98">
        <f t="shared" si="21"/>
        <v>0.76844285668232459</v>
      </c>
      <c r="M53" s="98">
        <f t="shared" si="21"/>
        <v>0.77117810768290995</v>
      </c>
      <c r="N53" s="98">
        <f t="shared" si="21"/>
        <v>0.77340050504890223</v>
      </c>
      <c r="O53" s="100">
        <f t="shared" si="21"/>
        <v>0.80507168053189015</v>
      </c>
      <c r="P53" s="100">
        <f t="shared" si="21"/>
        <v>0.78935186675478286</v>
      </c>
      <c r="Q53" s="100">
        <f t="shared" si="21"/>
        <v>0.79140230503762377</v>
      </c>
      <c r="R53" s="100">
        <f t="shared" si="21"/>
        <v>0.78706255170840511</v>
      </c>
      <c r="S53" s="100">
        <f t="shared" si="21"/>
        <v>0.78877233925288603</v>
      </c>
    </row>
    <row r="54" spans="1:19" x14ac:dyDescent="0.35">
      <c r="A54" s="51" t="s">
        <v>172</v>
      </c>
      <c r="B54" s="52">
        <f>'Cash Flow Statement'!E22*-1</f>
        <v>2701</v>
      </c>
      <c r="C54" s="52">
        <f>'Cash Flow Statement'!F22*-1</f>
        <v>2867</v>
      </c>
      <c r="D54" s="52">
        <f>'Cash Flow Statement'!G22*-1</f>
        <v>3523</v>
      </c>
      <c r="E54" s="53">
        <f>Summary!G21</f>
        <v>3900</v>
      </c>
      <c r="F54" s="53">
        <f>Summary!H21</f>
        <v>4017</v>
      </c>
      <c r="G54" s="53">
        <f>Summary!I21</f>
        <v>4097.34</v>
      </c>
      <c r="H54" s="53">
        <f>Summary!J21</f>
        <v>4179.2867999999999</v>
      </c>
      <c r="I54" s="53">
        <f>Summary!K21</f>
        <v>4262.8725359999999</v>
      </c>
      <c r="J54" s="82">
        <f>Summary!L21</f>
        <v>3900</v>
      </c>
      <c r="K54" s="82">
        <f>Summary!M21</f>
        <v>4017</v>
      </c>
      <c r="L54" s="82">
        <f>Summary!N21</f>
        <v>4097.34</v>
      </c>
      <c r="M54" s="82">
        <f>Summary!O21</f>
        <v>4179.2867999999999</v>
      </c>
      <c r="N54" s="82">
        <f>Summary!P21</f>
        <v>4262.8725359999999</v>
      </c>
      <c r="O54" s="87">
        <f>Summary!Q21</f>
        <v>3900</v>
      </c>
      <c r="P54" s="87">
        <f>Summary!R21</f>
        <v>4017</v>
      </c>
      <c r="Q54" s="87">
        <f>Summary!S21</f>
        <v>4097.34</v>
      </c>
      <c r="R54" s="87">
        <f>Summary!T21</f>
        <v>4179.2867999999999</v>
      </c>
      <c r="S54" s="87">
        <f>Summary!U21</f>
        <v>4262.8725359999999</v>
      </c>
    </row>
    <row r="55" spans="1:19" x14ac:dyDescent="0.35">
      <c r="A55" s="60" t="s">
        <v>173</v>
      </c>
      <c r="B55" s="52">
        <f>'Income Statement'!E30*(1-Summary!F23)</f>
        <v>3772.5667022411953</v>
      </c>
      <c r="C55" s="52">
        <f>'Income Statement'!F30*(1-Summary!F23)</f>
        <v>3628.9284951974387</v>
      </c>
      <c r="D55" s="52">
        <f>'Income Statement'!G30*(1-Summary!F23)</f>
        <v>1045.0917822838846</v>
      </c>
      <c r="E55" s="53">
        <f>E36*(1-Summary!G23)</f>
        <v>5256.2474415786892</v>
      </c>
      <c r="F55" s="53">
        <f>F36*(1-Summary!H23)</f>
        <v>5000.0806732247784</v>
      </c>
      <c r="G55" s="53">
        <f>G36*(1-Summary!I23)</f>
        <v>4518.747790428426</v>
      </c>
      <c r="H55" s="53">
        <f>H36*(1-Summary!J23)</f>
        <v>4714.536408175054</v>
      </c>
      <c r="I55" s="53">
        <f>I36*(1-Summary!K23)</f>
        <v>4883.7717638029198</v>
      </c>
      <c r="J55" s="82">
        <f>J36*(1-Summary!L23)</f>
        <v>7201.5194772601681</v>
      </c>
      <c r="K55" s="82">
        <f>K36*(1-Summary!M23)</f>
        <v>5933.7520382571211</v>
      </c>
      <c r="L55" s="82">
        <f>L36*(1-Summary!N23)</f>
        <v>5762.5786439981857</v>
      </c>
      <c r="M55" s="82">
        <f>M36*(1-Summary!O23)</f>
        <v>5983.7046153643496</v>
      </c>
      <c r="N55" s="82">
        <f>N36*(1-Summary!P23)</f>
        <v>6167.7456748351442</v>
      </c>
      <c r="O55" s="87">
        <f>O36*(1-Summary!Q23)</f>
        <v>8732.7521865991203</v>
      </c>
      <c r="P55" s="87">
        <f>P36*(1-Summary!R23)</f>
        <v>7326.6502045459529</v>
      </c>
      <c r="Q55" s="87">
        <f>Q36*(1-Summary!S23)</f>
        <v>7643.7448586148694</v>
      </c>
      <c r="R55" s="87">
        <f>R36*(1-Summary!T23)</f>
        <v>7310.2897165024451</v>
      </c>
      <c r="S55" s="87">
        <f>S36*(1-Summary!U23)</f>
        <v>7519.6977322406547</v>
      </c>
    </row>
  </sheetData>
  <mergeCells count="6">
    <mergeCell ref="O2:S2"/>
    <mergeCell ref="A49:S49"/>
    <mergeCell ref="E2:I2"/>
    <mergeCell ref="A1:S1"/>
    <mergeCell ref="J2:N2"/>
    <mergeCell ref="B2:D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4"/>
  <sheetViews>
    <sheetView showGridLines="0" zoomScale="78" workbookViewId="0">
      <pane xSplit="4" ySplit="3" topLeftCell="E9" activePane="bottomRight" state="frozen"/>
      <selection pane="topRight"/>
      <selection pane="bottomLeft"/>
      <selection pane="bottomRight" activeCell="A2" sqref="A2"/>
    </sheetView>
  </sheetViews>
  <sheetFormatPr defaultRowHeight="14.5" x14ac:dyDescent="0.35"/>
  <cols>
    <col min="1" max="1" width="42" customWidth="1"/>
    <col min="2" max="4" width="11" customWidth="1"/>
    <col min="5" max="19" width="10" customWidth="1"/>
  </cols>
  <sheetData>
    <row r="1" spans="1:19" ht="26" customHeight="1" x14ac:dyDescent="0.35">
      <c r="A1" s="252" t="s">
        <v>464</v>
      </c>
      <c r="B1" s="269"/>
      <c r="C1" s="269"/>
      <c r="D1" s="269"/>
      <c r="E1" s="269"/>
      <c r="F1" s="269"/>
      <c r="G1" s="269"/>
      <c r="H1" s="269"/>
      <c r="I1" s="269"/>
      <c r="J1" s="269"/>
      <c r="K1" s="269"/>
      <c r="L1" s="269"/>
      <c r="M1" s="269"/>
      <c r="N1" s="269"/>
      <c r="O1" s="269"/>
      <c r="P1" s="269"/>
      <c r="Q1" s="269"/>
      <c r="R1" s="269"/>
      <c r="S1" s="269"/>
    </row>
    <row r="2" spans="1:19" ht="18" customHeight="1" x14ac:dyDescent="0.35">
      <c r="B2" s="273" t="s">
        <v>150</v>
      </c>
      <c r="C2" s="274"/>
      <c r="D2" s="275"/>
      <c r="E2" s="266" t="s">
        <v>174</v>
      </c>
      <c r="F2" s="267"/>
      <c r="G2" s="267"/>
      <c r="H2" s="267"/>
      <c r="I2" s="268"/>
      <c r="J2" s="270" t="s">
        <v>175</v>
      </c>
      <c r="K2" s="271"/>
      <c r="L2" s="271"/>
      <c r="M2" s="271"/>
      <c r="N2" s="272"/>
      <c r="O2" s="260" t="s">
        <v>176</v>
      </c>
      <c r="P2" s="261"/>
      <c r="Q2" s="261"/>
      <c r="R2" s="261"/>
      <c r="S2" s="262"/>
    </row>
    <row r="3" spans="1:19" ht="16" customHeight="1" x14ac:dyDescent="0.35">
      <c r="B3" s="78" t="s">
        <v>17</v>
      </c>
      <c r="C3" s="78" t="s">
        <v>18</v>
      </c>
      <c r="D3" s="78" t="s">
        <v>19</v>
      </c>
      <c r="E3" s="79" t="s">
        <v>0</v>
      </c>
      <c r="F3" s="79" t="s">
        <v>1</v>
      </c>
      <c r="G3" s="79" t="s">
        <v>2</v>
      </c>
      <c r="H3" s="79" t="s">
        <v>3</v>
      </c>
      <c r="I3" s="79" t="s">
        <v>4</v>
      </c>
      <c r="J3" s="80" t="s">
        <v>0</v>
      </c>
      <c r="K3" s="80" t="s">
        <v>1</v>
      </c>
      <c r="L3" s="80" t="s">
        <v>2</v>
      </c>
      <c r="M3" s="80" t="s">
        <v>3</v>
      </c>
      <c r="N3" s="80" t="s">
        <v>4</v>
      </c>
      <c r="O3" s="81" t="s">
        <v>0</v>
      </c>
      <c r="P3" s="81" t="s">
        <v>1</v>
      </c>
      <c r="Q3" s="81" t="s">
        <v>2</v>
      </c>
      <c r="R3" s="81" t="s">
        <v>3</v>
      </c>
      <c r="S3" s="81" t="s">
        <v>4</v>
      </c>
    </row>
    <row r="4" spans="1:19" s="67" customFormat="1" ht="18" customHeight="1" x14ac:dyDescent="0.35">
      <c r="A4" s="71" t="s">
        <v>177</v>
      </c>
      <c r="B4" s="69"/>
      <c r="C4" s="69"/>
      <c r="D4" s="69"/>
      <c r="E4" s="69"/>
      <c r="F4" s="69"/>
      <c r="G4" s="69"/>
      <c r="H4" s="69"/>
      <c r="I4" s="69"/>
      <c r="J4" s="69"/>
      <c r="K4" s="69"/>
      <c r="L4" s="69"/>
      <c r="M4" s="69"/>
      <c r="N4" s="69"/>
      <c r="O4" s="69"/>
      <c r="P4" s="69"/>
      <c r="Q4" s="69"/>
      <c r="R4" s="69"/>
      <c r="S4" s="70"/>
    </row>
    <row r="5" spans="1:19" x14ac:dyDescent="0.35">
      <c r="A5" s="58" t="s">
        <v>178</v>
      </c>
      <c r="B5" s="52">
        <f>'Balance Sheet'!E5</f>
        <v>582</v>
      </c>
      <c r="C5" s="52">
        <f>'Balance Sheet'!F5</f>
        <v>161</v>
      </c>
      <c r="D5" s="52">
        <f>'Balance Sheet'!G5</f>
        <v>104</v>
      </c>
      <c r="E5" s="53">
        <f>IF(ISBLANK(Forecast_CF!E36),0,Forecast_CF!E36)</f>
        <v>566.16282779820176</v>
      </c>
      <c r="F5" s="53">
        <f>IF(ISBLANK(Forecast_CF!F36),0,Forecast_CF!F36)</f>
        <v>1607.9316572854032</v>
      </c>
      <c r="G5" s="53">
        <f>IF(ISBLANK(Forecast_CF!G36),0,Forecast_CF!G36)</f>
        <v>2735.7277485678751</v>
      </c>
      <c r="H5" s="53">
        <f>IF(ISBLANK(Forecast_CF!H36),0,Forecast_CF!H36)</f>
        <v>4245.5636360471708</v>
      </c>
      <c r="I5" s="53">
        <f>IF(ISBLANK(Forecast_CF!I36),0,Forecast_CF!I36)</f>
        <v>5872.5448043767819</v>
      </c>
      <c r="J5" s="82">
        <f>IF(ISBLANK(Forecast_CF!J36),0,Forecast_CF!J36)</f>
        <v>1778.0840891858643</v>
      </c>
      <c r="K5" s="82">
        <f>IF(ISBLANK(Forecast_CF!K36),0,Forecast_CF!K36)</f>
        <v>3367.8838837198891</v>
      </c>
      <c r="L5" s="82">
        <f>IF(ISBLANK(Forecast_CF!L36),0,Forecast_CF!L36)</f>
        <v>5315.1401537591382</v>
      </c>
      <c r="M5" s="82">
        <f>IF(ISBLANK(Forecast_CF!M36),0,Forecast_CF!M36)</f>
        <v>7682.5660579515079</v>
      </c>
      <c r="N5" s="82">
        <f>IF(ISBLANK(Forecast_CF!N36),0,Forecast_CF!N36)</f>
        <v>10211.499129586775</v>
      </c>
      <c r="O5" s="87">
        <f>IF(ISBLANK(Forecast_CF!O36),0,Forecast_CF!O36)</f>
        <v>2717.0985200994573</v>
      </c>
      <c r="P5" s="87">
        <f>IF(ISBLANK(Forecast_CF!P36),0,Forecast_CF!P36)</f>
        <v>5126.7095729726789</v>
      </c>
      <c r="Q5" s="87">
        <f>IF(ISBLANK(Forecast_CF!Q36),0,Forecast_CF!Q36)</f>
        <v>8225.1557965192842</v>
      </c>
      <c r="R5" s="87">
        <f>IF(ISBLANK(Forecast_CF!R36),0,Forecast_CF!R36)</f>
        <v>11415.339986758898</v>
      </c>
      <c r="S5" s="87">
        <f>IF(ISBLANK(Forecast_CF!S36),0,Forecast_CF!S36)</f>
        <v>14833.15028366409</v>
      </c>
    </row>
    <row r="6" spans="1:19" x14ac:dyDescent="0.35">
      <c r="A6" s="54" t="s">
        <v>179</v>
      </c>
      <c r="B6" s="52">
        <f>'Balance Sheet'!E9</f>
        <v>654</v>
      </c>
      <c r="C6" s="52">
        <f>'Balance Sheet'!F9</f>
        <v>1387</v>
      </c>
      <c r="D6" s="52">
        <f>'Balance Sheet'!G9</f>
        <v>1128</v>
      </c>
      <c r="E6" s="53">
        <f>Forecast_IS!E14/365*28</f>
        <v>1189.230429660767</v>
      </c>
      <c r="F6" s="53">
        <f>Forecast_IS!F14/365*28</f>
        <v>1181.8922647311797</v>
      </c>
      <c r="G6" s="53">
        <f>Forecast_IS!G14/365*28</f>
        <v>1147.4997138273479</v>
      </c>
      <c r="H6" s="53">
        <f>Forecast_IS!H14/365*28</f>
        <v>1178.5402996057883</v>
      </c>
      <c r="I6" s="53">
        <f>Forecast_IS!I14/365*28</f>
        <v>1205.0412282607024</v>
      </c>
      <c r="J6" s="82">
        <f>Forecast_IS!J14/365*28</f>
        <v>1391.0185166534136</v>
      </c>
      <c r="K6" s="82">
        <f>Forecast_IS!K14/365*28</f>
        <v>1285.6098119722994</v>
      </c>
      <c r="L6" s="82">
        <f>Forecast_IS!L14/365*28</f>
        <v>1287.0249716815117</v>
      </c>
      <c r="M6" s="82">
        <f>Forecast_IS!M14/365*28</f>
        <v>1325.3928212706689</v>
      </c>
      <c r="N6" s="82">
        <f>Forecast_IS!N14/365*28</f>
        <v>1358.0039088523558</v>
      </c>
      <c r="O6" s="87">
        <f>Forecast_IS!O14/365*28</f>
        <v>1546.9864520197257</v>
      </c>
      <c r="P6" s="87">
        <f>Forecast_IS!P14/365*28</f>
        <v>1430.7925109777675</v>
      </c>
      <c r="Q6" s="87">
        <f>Forecast_IS!Q14/365*28</f>
        <v>1485.6029868357095</v>
      </c>
      <c r="R6" s="87">
        <f>Forecast_IS!R14/365*28</f>
        <v>1471.3257213169463</v>
      </c>
      <c r="S6" s="87">
        <f>Forecast_IS!S14/365*28</f>
        <v>1509.4093812046674</v>
      </c>
    </row>
    <row r="7" spans="1:19" x14ac:dyDescent="0.35">
      <c r="A7" s="51" t="s">
        <v>180</v>
      </c>
      <c r="B7" s="52">
        <f>'Balance Sheet'!E8</f>
        <v>192</v>
      </c>
      <c r="C7" s="52">
        <f>'Balance Sheet'!F8</f>
        <v>198</v>
      </c>
      <c r="D7" s="52">
        <f>'Balance Sheet'!G8</f>
        <v>258</v>
      </c>
      <c r="E7" s="53">
        <f>'Balance Sheet'!G8</f>
        <v>258</v>
      </c>
      <c r="F7" s="53">
        <f>'Balance Sheet'!G8</f>
        <v>258</v>
      </c>
      <c r="G7" s="53">
        <f>'Balance Sheet'!G8</f>
        <v>258</v>
      </c>
      <c r="H7" s="53">
        <f>'Balance Sheet'!G8</f>
        <v>258</v>
      </c>
      <c r="I7" s="53">
        <f>'Balance Sheet'!G8</f>
        <v>258</v>
      </c>
      <c r="J7" s="82">
        <f>'Balance Sheet'!G8</f>
        <v>258</v>
      </c>
      <c r="K7" s="82">
        <f>'Balance Sheet'!G8</f>
        <v>258</v>
      </c>
      <c r="L7" s="82">
        <f>'Balance Sheet'!G8</f>
        <v>258</v>
      </c>
      <c r="M7" s="82">
        <f>'Balance Sheet'!G8</f>
        <v>258</v>
      </c>
      <c r="N7" s="82">
        <f>'Balance Sheet'!G8</f>
        <v>258</v>
      </c>
      <c r="O7" s="87">
        <f>'Balance Sheet'!G8</f>
        <v>258</v>
      </c>
      <c r="P7" s="87">
        <f>'Balance Sheet'!G8</f>
        <v>258</v>
      </c>
      <c r="Q7" s="87">
        <f>'Balance Sheet'!G8</f>
        <v>258</v>
      </c>
      <c r="R7" s="87">
        <f>'Balance Sheet'!G8</f>
        <v>258</v>
      </c>
      <c r="S7" s="87">
        <f>'Balance Sheet'!G8</f>
        <v>258</v>
      </c>
    </row>
    <row r="8" spans="1:19" x14ac:dyDescent="0.35">
      <c r="A8" s="54" t="s">
        <v>181</v>
      </c>
      <c r="B8" s="52">
        <f>'Balance Sheet'!E10</f>
        <v>63</v>
      </c>
      <c r="C8" s="52">
        <f>'Balance Sheet'!F10</f>
        <v>116</v>
      </c>
      <c r="D8" s="52">
        <f>'Balance Sheet'!G10</f>
        <v>86</v>
      </c>
      <c r="E8" s="53">
        <f>'Balance Sheet'!G10</f>
        <v>86</v>
      </c>
      <c r="F8" s="53">
        <f>'Balance Sheet'!G10</f>
        <v>86</v>
      </c>
      <c r="G8" s="53">
        <f>'Balance Sheet'!G10</f>
        <v>86</v>
      </c>
      <c r="H8" s="53">
        <f>'Balance Sheet'!G10</f>
        <v>86</v>
      </c>
      <c r="I8" s="53">
        <f>'Balance Sheet'!G10</f>
        <v>86</v>
      </c>
      <c r="J8" s="82">
        <f>'Balance Sheet'!G10</f>
        <v>86</v>
      </c>
      <c r="K8" s="82">
        <f>'Balance Sheet'!G10</f>
        <v>86</v>
      </c>
      <c r="L8" s="82">
        <f>'Balance Sheet'!G10</f>
        <v>86</v>
      </c>
      <c r="M8" s="82">
        <f>'Balance Sheet'!G10</f>
        <v>86</v>
      </c>
      <c r="N8" s="82">
        <f>'Balance Sheet'!G10</f>
        <v>86</v>
      </c>
      <c r="O8" s="87">
        <f>'Balance Sheet'!G10</f>
        <v>86</v>
      </c>
      <c r="P8" s="87">
        <f>'Balance Sheet'!G10</f>
        <v>86</v>
      </c>
      <c r="Q8" s="87">
        <f>'Balance Sheet'!G10</f>
        <v>86</v>
      </c>
      <c r="R8" s="87">
        <f>'Balance Sheet'!G10</f>
        <v>86</v>
      </c>
      <c r="S8" s="87">
        <f>'Balance Sheet'!G10</f>
        <v>86</v>
      </c>
    </row>
    <row r="9" spans="1:19" x14ac:dyDescent="0.35">
      <c r="A9" s="51" t="s">
        <v>182</v>
      </c>
      <c r="B9" s="52">
        <f>'Balance Sheet'!E11</f>
        <v>127</v>
      </c>
      <c r="C9" s="52">
        <f>'Balance Sheet'!F11</f>
        <v>245</v>
      </c>
      <c r="D9" s="52">
        <f>'Balance Sheet'!G11</f>
        <v>337</v>
      </c>
      <c r="E9" s="53">
        <f>'Balance Sheet'!G11</f>
        <v>337</v>
      </c>
      <c r="F9" s="53">
        <f>'Balance Sheet'!G11</f>
        <v>337</v>
      </c>
      <c r="G9" s="53">
        <f>'Balance Sheet'!G11</f>
        <v>337</v>
      </c>
      <c r="H9" s="53">
        <f>'Balance Sheet'!G11</f>
        <v>337</v>
      </c>
      <c r="I9" s="53">
        <f>'Balance Sheet'!G11</f>
        <v>337</v>
      </c>
      <c r="J9" s="82">
        <f>'Balance Sheet'!G11</f>
        <v>337</v>
      </c>
      <c r="K9" s="82">
        <f>'Balance Sheet'!G11</f>
        <v>337</v>
      </c>
      <c r="L9" s="82">
        <f>'Balance Sheet'!G11</f>
        <v>337</v>
      </c>
      <c r="M9" s="82">
        <f>'Balance Sheet'!G11</f>
        <v>337</v>
      </c>
      <c r="N9" s="82">
        <f>'Balance Sheet'!G11</f>
        <v>337</v>
      </c>
      <c r="O9" s="87">
        <f>'Balance Sheet'!G11</f>
        <v>337</v>
      </c>
      <c r="P9" s="87">
        <f>'Balance Sheet'!G11</f>
        <v>337</v>
      </c>
      <c r="Q9" s="87">
        <f>'Balance Sheet'!G11</f>
        <v>337</v>
      </c>
      <c r="R9" s="87">
        <f>'Balance Sheet'!G11</f>
        <v>337</v>
      </c>
      <c r="S9" s="87">
        <f>'Balance Sheet'!G11</f>
        <v>337</v>
      </c>
    </row>
    <row r="10" spans="1:19" x14ac:dyDescent="0.35">
      <c r="A10" s="56" t="s">
        <v>183</v>
      </c>
      <c r="B10" s="52">
        <f>'Balance Sheet'!E12</f>
        <v>1621</v>
      </c>
      <c r="C10" s="52">
        <f>'Balance Sheet'!F12</f>
        <v>2110</v>
      </c>
      <c r="D10" s="52">
        <f>'Balance Sheet'!G12</f>
        <v>1915</v>
      </c>
      <c r="E10" s="53">
        <f t="shared" ref="E10:S10" si="0">E5+E6+E7+E8+E9</f>
        <v>2436.3932574589689</v>
      </c>
      <c r="F10" s="53">
        <f t="shared" si="0"/>
        <v>3470.8239220165829</v>
      </c>
      <c r="G10" s="53">
        <f t="shared" si="0"/>
        <v>4564.2274623952235</v>
      </c>
      <c r="H10" s="53">
        <f t="shared" si="0"/>
        <v>6105.1039356529591</v>
      </c>
      <c r="I10" s="53">
        <f t="shared" si="0"/>
        <v>7758.5860326374841</v>
      </c>
      <c r="J10" s="82">
        <f t="shared" si="0"/>
        <v>3850.1026058392781</v>
      </c>
      <c r="K10" s="82">
        <f t="shared" si="0"/>
        <v>5334.4936956921883</v>
      </c>
      <c r="L10" s="82">
        <f t="shared" si="0"/>
        <v>7283.1651254406497</v>
      </c>
      <c r="M10" s="82">
        <f t="shared" si="0"/>
        <v>9688.9588792221766</v>
      </c>
      <c r="N10" s="82">
        <f t="shared" si="0"/>
        <v>12250.50303843913</v>
      </c>
      <c r="O10" s="87">
        <f t="shared" si="0"/>
        <v>4945.0849721191826</v>
      </c>
      <c r="P10" s="87">
        <f t="shared" si="0"/>
        <v>7238.5020839504468</v>
      </c>
      <c r="Q10" s="87">
        <f t="shared" si="0"/>
        <v>10391.758783354993</v>
      </c>
      <c r="R10" s="87">
        <f t="shared" si="0"/>
        <v>13567.665708075845</v>
      </c>
      <c r="S10" s="87">
        <f t="shared" si="0"/>
        <v>17023.559664868757</v>
      </c>
    </row>
    <row r="11" spans="1:19" s="67" customFormat="1" x14ac:dyDescent="0.35">
      <c r="A11" s="102"/>
      <c r="B11" s="103"/>
      <c r="C11" s="103"/>
      <c r="D11" s="103"/>
      <c r="E11" s="103"/>
      <c r="F11" s="103"/>
      <c r="G11" s="103"/>
      <c r="H11" s="103"/>
      <c r="I11" s="103"/>
      <c r="J11" s="103"/>
      <c r="K11" s="103"/>
      <c r="L11" s="103"/>
      <c r="M11" s="103"/>
      <c r="N11" s="103"/>
      <c r="O11" s="103"/>
      <c r="P11" s="103"/>
      <c r="Q11" s="103"/>
      <c r="R11" s="103"/>
      <c r="S11" s="104"/>
    </row>
    <row r="12" spans="1:19" s="67" customFormat="1" ht="18" customHeight="1" x14ac:dyDescent="0.35">
      <c r="A12" s="71" t="s">
        <v>184</v>
      </c>
      <c r="B12" s="69"/>
      <c r="C12" s="69"/>
      <c r="D12" s="69"/>
      <c r="E12" s="69"/>
      <c r="F12" s="69"/>
      <c r="G12" s="69"/>
      <c r="H12" s="69"/>
      <c r="I12" s="69"/>
      <c r="J12" s="69"/>
      <c r="K12" s="69"/>
      <c r="L12" s="69"/>
      <c r="M12" s="69"/>
      <c r="N12" s="69"/>
      <c r="O12" s="69"/>
      <c r="P12" s="69"/>
      <c r="Q12" s="69"/>
      <c r="R12" s="69"/>
      <c r="S12" s="70"/>
    </row>
    <row r="13" spans="1:19" x14ac:dyDescent="0.35">
      <c r="A13" s="54" t="s">
        <v>185</v>
      </c>
      <c r="B13" s="52">
        <f>'Balance Sheet'!E14</f>
        <v>42430</v>
      </c>
      <c r="C13" s="52">
        <f>'Balance Sheet'!F14</f>
        <v>82240</v>
      </c>
      <c r="D13" s="52">
        <f>'Balance Sheet'!G14</f>
        <v>95529</v>
      </c>
      <c r="E13" s="53">
        <f>D13+Summary!G21</f>
        <v>99429</v>
      </c>
      <c r="F13" s="53">
        <f>E13+Summary!H21</f>
        <v>103446</v>
      </c>
      <c r="G13" s="53">
        <f>F13+Summary!I21</f>
        <v>107543.34</v>
      </c>
      <c r="H13" s="53">
        <f>G13+Summary!J21</f>
        <v>111722.6268</v>
      </c>
      <c r="I13" s="53">
        <f>H13+Summary!K21</f>
        <v>115985.49933599999</v>
      </c>
      <c r="J13" s="82">
        <f>D13+Summary!L21</f>
        <v>99429</v>
      </c>
      <c r="K13" s="82">
        <f>J13+Summary!M21</f>
        <v>103446</v>
      </c>
      <c r="L13" s="82">
        <f>K13+Summary!N21</f>
        <v>107543.34</v>
      </c>
      <c r="M13" s="82">
        <f>L13+Summary!O21</f>
        <v>111722.6268</v>
      </c>
      <c r="N13" s="82">
        <f>M13+Summary!P21</f>
        <v>115985.49933599999</v>
      </c>
      <c r="O13" s="87">
        <f>D13+Summary!Q21</f>
        <v>99429</v>
      </c>
      <c r="P13" s="87">
        <f>O13+Summary!R21</f>
        <v>103446</v>
      </c>
      <c r="Q13" s="87">
        <f>P13+Summary!S21</f>
        <v>107543.34</v>
      </c>
      <c r="R13" s="87">
        <f>Q13+Summary!T21</f>
        <v>111722.6268</v>
      </c>
      <c r="S13" s="87">
        <f>R13+Summary!U21</f>
        <v>115985.49933599999</v>
      </c>
    </row>
    <row r="14" spans="1:19" x14ac:dyDescent="0.35">
      <c r="A14" s="51" t="s">
        <v>186</v>
      </c>
      <c r="B14" s="52">
        <f>'Balance Sheet'!E15</f>
        <v>673</v>
      </c>
      <c r="C14" s="52">
        <f>'Balance Sheet'!F15</f>
        <v>1440</v>
      </c>
      <c r="D14" s="52">
        <f>'Balance Sheet'!G15</f>
        <v>874</v>
      </c>
      <c r="E14" s="53">
        <f>'Balance Sheet'!G15</f>
        <v>874</v>
      </c>
      <c r="F14" s="53">
        <f>'Balance Sheet'!G15</f>
        <v>874</v>
      </c>
      <c r="G14" s="53">
        <f>'Balance Sheet'!G15</f>
        <v>874</v>
      </c>
      <c r="H14" s="53">
        <f>'Balance Sheet'!G15</f>
        <v>874</v>
      </c>
      <c r="I14" s="53">
        <f>'Balance Sheet'!G15</f>
        <v>874</v>
      </c>
      <c r="J14" s="82">
        <f>'Balance Sheet'!G15</f>
        <v>874</v>
      </c>
      <c r="K14" s="82">
        <f>'Balance Sheet'!G15</f>
        <v>874</v>
      </c>
      <c r="L14" s="82">
        <f>'Balance Sheet'!G15</f>
        <v>874</v>
      </c>
      <c r="M14" s="82">
        <f>'Balance Sheet'!G15</f>
        <v>874</v>
      </c>
      <c r="N14" s="82">
        <f>'Balance Sheet'!G15</f>
        <v>874</v>
      </c>
      <c r="O14" s="87">
        <f>'Balance Sheet'!G15</f>
        <v>874</v>
      </c>
      <c r="P14" s="87">
        <f>'Balance Sheet'!G15</f>
        <v>874</v>
      </c>
      <c r="Q14" s="87">
        <f>'Balance Sheet'!G15</f>
        <v>874</v>
      </c>
      <c r="R14" s="87">
        <f>'Balance Sheet'!G15</f>
        <v>874</v>
      </c>
      <c r="S14" s="87">
        <f>'Balance Sheet'!G15</f>
        <v>874</v>
      </c>
    </row>
    <row r="15" spans="1:19" x14ac:dyDescent="0.35">
      <c r="A15" s="54" t="s">
        <v>187</v>
      </c>
      <c r="B15" s="52">
        <f>'Balance Sheet'!E16</f>
        <v>-16429</v>
      </c>
      <c r="C15" s="52">
        <f>'Balance Sheet'!F16</f>
        <v>-19208</v>
      </c>
      <c r="D15" s="52">
        <f>'Balance Sheet'!G16</f>
        <v>-27782</v>
      </c>
      <c r="E15" s="53">
        <f>D15-Forecast_IS!E31</f>
        <v>-33038.756787500002</v>
      </c>
      <c r="F15" s="53">
        <f>E15-Forecast_IS!F31</f>
        <v>-38472.845402562503</v>
      </c>
      <c r="G15" s="53">
        <f>F15-Forecast_IS!G31</f>
        <v>-44048.85123241719</v>
      </c>
      <c r="H15" s="53">
        <f>G15-Forecast_IS!H31</f>
        <v>-49742.748634125826</v>
      </c>
      <c r="I15" s="53">
        <f>H15-Forecast_IS!I31</f>
        <v>-55535.213523327249</v>
      </c>
      <c r="J15" s="82">
        <f>D15-Forecast_IS!J31</f>
        <v>-33075.981050000002</v>
      </c>
      <c r="K15" s="82">
        <f>J15-Forecast_IS!K31</f>
        <v>-38587.343805500001</v>
      </c>
      <c r="L15" s="82">
        <f>K15-Forecast_IS!L31</f>
        <v>-44276.509009040004</v>
      </c>
      <c r="M15" s="82">
        <f>L15-Forecast_IS!M31</f>
        <v>-50120.863370658502</v>
      </c>
      <c r="N15" s="82">
        <f>M15-Forecast_IS!N31</f>
        <v>-56102.343126119944</v>
      </c>
      <c r="O15" s="87">
        <f>D15-Forecast_IS!O31</f>
        <v>-33101.194362499999</v>
      </c>
      <c r="P15" s="87">
        <f>O15-Forecast_IS!P31</f>
        <v>-38665.400889312499</v>
      </c>
      <c r="Q15" s="87">
        <f>P15-Forecast_IS!Q31</f>
        <v>-44436.934611604062</v>
      </c>
      <c r="R15" s="87">
        <f>Q15-Forecast_IS!R31</f>
        <v>-50394.760411121824</v>
      </c>
      <c r="S15" s="87">
        <f>R15-Forecast_IS!S31</f>
        <v>-56515.20376380728</v>
      </c>
    </row>
    <row r="16" spans="1:19" x14ac:dyDescent="0.35">
      <c r="A16" s="58" t="s">
        <v>188</v>
      </c>
      <c r="B16" s="52">
        <f>'Balance Sheet'!E17</f>
        <v>26674</v>
      </c>
      <c r="C16" s="52">
        <f>'Balance Sheet'!F17</f>
        <v>64472</v>
      </c>
      <c r="D16" s="52">
        <f>'Balance Sheet'!G17</f>
        <v>68621</v>
      </c>
      <c r="E16" s="53">
        <f t="shared" ref="E16:S16" si="1">E13+E14+E15</f>
        <v>67264.243212500005</v>
      </c>
      <c r="F16" s="53">
        <f t="shared" si="1"/>
        <v>65847.154597437504</v>
      </c>
      <c r="G16" s="53">
        <f t="shared" si="1"/>
        <v>64368.488767582807</v>
      </c>
      <c r="H16" s="53">
        <f t="shared" si="1"/>
        <v>62853.878165874172</v>
      </c>
      <c r="I16" s="53">
        <f t="shared" si="1"/>
        <v>61324.285812672744</v>
      </c>
      <c r="J16" s="82">
        <f t="shared" si="1"/>
        <v>67227.018949999998</v>
      </c>
      <c r="K16" s="82">
        <f t="shared" si="1"/>
        <v>65732.656194499999</v>
      </c>
      <c r="L16" s="82">
        <f t="shared" si="1"/>
        <v>64140.830990959992</v>
      </c>
      <c r="M16" s="82">
        <f t="shared" si="1"/>
        <v>62475.763429341496</v>
      </c>
      <c r="N16" s="82">
        <f t="shared" si="1"/>
        <v>60757.15620988005</v>
      </c>
      <c r="O16" s="87">
        <f t="shared" si="1"/>
        <v>67201.805637500001</v>
      </c>
      <c r="P16" s="87">
        <f t="shared" si="1"/>
        <v>65654.599110687501</v>
      </c>
      <c r="Q16" s="87">
        <f t="shared" si="1"/>
        <v>63980.405388395935</v>
      </c>
      <c r="R16" s="87">
        <f t="shared" si="1"/>
        <v>62201.866388878174</v>
      </c>
      <c r="S16" s="87">
        <f t="shared" si="1"/>
        <v>60344.295572192714</v>
      </c>
    </row>
    <row r="17" spans="1:19" x14ac:dyDescent="0.35">
      <c r="A17" s="54" t="s">
        <v>189</v>
      </c>
      <c r="B17" s="52">
        <f>'Balance Sheet'!E18</f>
        <v>706</v>
      </c>
      <c r="C17" s="52">
        <f>'Balance Sheet'!F18</f>
        <v>710</v>
      </c>
      <c r="D17" s="52">
        <f>'Balance Sheet'!G18</f>
        <v>523</v>
      </c>
      <c r="E17" s="53">
        <f>'Balance Sheet'!G18</f>
        <v>523</v>
      </c>
      <c r="F17" s="53">
        <f>'Balance Sheet'!G18</f>
        <v>523</v>
      </c>
      <c r="G17" s="53">
        <f>'Balance Sheet'!G18</f>
        <v>523</v>
      </c>
      <c r="H17" s="53">
        <f>'Balance Sheet'!G18</f>
        <v>523</v>
      </c>
      <c r="I17" s="53">
        <f>'Balance Sheet'!G18</f>
        <v>523</v>
      </c>
      <c r="J17" s="82">
        <f>'Balance Sheet'!G18</f>
        <v>523</v>
      </c>
      <c r="K17" s="82">
        <f>'Balance Sheet'!G18</f>
        <v>523</v>
      </c>
      <c r="L17" s="82">
        <f>'Balance Sheet'!G18</f>
        <v>523</v>
      </c>
      <c r="M17" s="82">
        <f>'Balance Sheet'!G18</f>
        <v>523</v>
      </c>
      <c r="N17" s="82">
        <f>'Balance Sheet'!G18</f>
        <v>523</v>
      </c>
      <c r="O17" s="87">
        <f>'Balance Sheet'!G18</f>
        <v>523</v>
      </c>
      <c r="P17" s="87">
        <f>'Balance Sheet'!G18</f>
        <v>523</v>
      </c>
      <c r="Q17" s="87">
        <f>'Balance Sheet'!G18</f>
        <v>523</v>
      </c>
      <c r="R17" s="87">
        <f>'Balance Sheet'!G18</f>
        <v>523</v>
      </c>
      <c r="S17" s="87">
        <f>'Balance Sheet'!G18</f>
        <v>523</v>
      </c>
    </row>
    <row r="18" spans="1:19" x14ac:dyDescent="0.35">
      <c r="A18" s="58" t="s">
        <v>190</v>
      </c>
      <c r="B18" s="52">
        <f>'Balance Sheet'!E19</f>
        <v>29001</v>
      </c>
      <c r="C18" s="52">
        <f>'Balance Sheet'!F19</f>
        <v>67292</v>
      </c>
      <c r="D18" s="52">
        <f>'Balance Sheet'!G19</f>
        <v>71059</v>
      </c>
      <c r="E18" s="53">
        <f t="shared" ref="E18:S18" si="2">E10+E16+E17</f>
        <v>70223.636469958976</v>
      </c>
      <c r="F18" s="53">
        <f t="shared" si="2"/>
        <v>69840.978519454089</v>
      </c>
      <c r="G18" s="53">
        <f t="shared" si="2"/>
        <v>69455.716229978032</v>
      </c>
      <c r="H18" s="53">
        <f t="shared" si="2"/>
        <v>69481.98210152713</v>
      </c>
      <c r="I18" s="53">
        <f t="shared" si="2"/>
        <v>69605.871845310234</v>
      </c>
      <c r="J18" s="82">
        <f t="shared" si="2"/>
        <v>71600.121555839272</v>
      </c>
      <c r="K18" s="82">
        <f t="shared" si="2"/>
        <v>71590.149890192188</v>
      </c>
      <c r="L18" s="82">
        <f t="shared" si="2"/>
        <v>71946.996116400638</v>
      </c>
      <c r="M18" s="82">
        <f t="shared" si="2"/>
        <v>72687.72230856368</v>
      </c>
      <c r="N18" s="82">
        <f t="shared" si="2"/>
        <v>73530.659248319178</v>
      </c>
      <c r="O18" s="87">
        <f t="shared" si="2"/>
        <v>72669.890609619179</v>
      </c>
      <c r="P18" s="87">
        <f t="shared" si="2"/>
        <v>73416.101194637944</v>
      </c>
      <c r="Q18" s="87">
        <f t="shared" si="2"/>
        <v>74895.164171750934</v>
      </c>
      <c r="R18" s="87">
        <f t="shared" si="2"/>
        <v>76292.532096954019</v>
      </c>
      <c r="S18" s="87">
        <f t="shared" si="2"/>
        <v>77890.855237061478</v>
      </c>
    </row>
    <row r="19" spans="1:19" x14ac:dyDescent="0.35">
      <c r="A19" s="59"/>
      <c r="B19" s="59"/>
      <c r="C19" s="59"/>
      <c r="D19" s="59"/>
      <c r="E19" s="59"/>
      <c r="F19" s="59"/>
      <c r="G19" s="59"/>
      <c r="H19" s="59"/>
      <c r="I19" s="59"/>
      <c r="J19" s="59"/>
      <c r="K19" s="59"/>
      <c r="L19" s="59"/>
      <c r="M19" s="59"/>
      <c r="N19" s="59"/>
      <c r="O19" s="59"/>
      <c r="P19" s="59"/>
      <c r="Q19" s="59"/>
      <c r="R19" s="59"/>
      <c r="S19" s="59"/>
    </row>
    <row r="20" spans="1:19" s="67" customFormat="1" ht="18" customHeight="1" x14ac:dyDescent="0.35">
      <c r="A20" s="71" t="s">
        <v>191</v>
      </c>
      <c r="B20" s="69"/>
      <c r="C20" s="69"/>
      <c r="D20" s="69"/>
      <c r="E20" s="69"/>
      <c r="F20" s="69"/>
      <c r="G20" s="69"/>
      <c r="H20" s="69"/>
      <c r="I20" s="69"/>
      <c r="J20" s="69"/>
      <c r="K20" s="69"/>
      <c r="L20" s="69"/>
      <c r="M20" s="69"/>
      <c r="N20" s="69"/>
      <c r="O20" s="69"/>
      <c r="P20" s="69"/>
      <c r="Q20" s="69"/>
      <c r="R20" s="69"/>
      <c r="S20" s="70"/>
    </row>
    <row r="21" spans="1:19" x14ac:dyDescent="0.35">
      <c r="A21" s="54" t="s">
        <v>192</v>
      </c>
      <c r="B21" s="52">
        <f>'Balance Sheet'!E23</f>
        <v>754</v>
      </c>
      <c r="C21" s="52">
        <f>'Balance Sheet'!F23</f>
        <v>943</v>
      </c>
      <c r="D21" s="52">
        <f>'Balance Sheet'!G23</f>
        <v>1168</v>
      </c>
      <c r="E21" s="53">
        <f>(Forecast_IS!E22+Forecast_IS!E21+Forecast_IS!E20)/365*60+Summary!G21/12</f>
        <v>1145.5323229031487</v>
      </c>
      <c r="F21" s="53">
        <f>(Forecast_IS!F22+Forecast_IS!F21+Forecast_IS!F20)/365*60+Summary!H21/12</f>
        <v>1162.9445281318337</v>
      </c>
      <c r="G21" s="53">
        <f>(Forecast_IS!G22+Forecast_IS!G21+Forecast_IS!G20)/365*60+Summary!I21/12</f>
        <v>1167.6715734297559</v>
      </c>
      <c r="H21" s="53">
        <f>(Forecast_IS!H22+Forecast_IS!H21+Forecast_IS!H20)/365*60+Summary!J21/12</f>
        <v>1186.3531986558764</v>
      </c>
      <c r="I21" s="53">
        <f>(Forecast_IS!I22+Forecast_IS!I21+Forecast_IS!I20)/365*60+Summary!K21/12</f>
        <v>1204.4321240213635</v>
      </c>
      <c r="J21" s="82">
        <f>(Forecast_IS!J22+Forecast_IS!J21+Forecast_IS!J20)/365*60+Summary!L21/12</f>
        <v>1201.4612917813997</v>
      </c>
      <c r="K21" s="82">
        <f>(Forecast_IS!K22+Forecast_IS!K21+Forecast_IS!K20)/365*60+Summary!M21/12</f>
        <v>1195.5827042589265</v>
      </c>
      <c r="L21" s="82">
        <f>(Forecast_IS!L22+Forecast_IS!L21+Forecast_IS!L20)/365*60+Summary!N21/12</f>
        <v>1213.0025395625617</v>
      </c>
      <c r="M21" s="82">
        <f>(Forecast_IS!M22+Forecast_IS!M21+Forecast_IS!M20)/365*60+Summary!O21/12</f>
        <v>1238.0957776573903</v>
      </c>
      <c r="N21" s="82">
        <f>(Forecast_IS!N22+Forecast_IS!N21+Forecast_IS!N20)/365*60+Summary!P21/12</f>
        <v>1261.2365818108719</v>
      </c>
      <c r="O21" s="87">
        <f>(Forecast_IS!O22+Forecast_IS!O21+Forecast_IS!O20)/365*60+Summary!Q21/12</f>
        <v>1234.7483697292328</v>
      </c>
      <c r="P21" s="87">
        <f>(Forecast_IS!P22+Forecast_IS!P21+Forecast_IS!P20)/365*60+Summary!R21/12</f>
        <v>1228.1414390492455</v>
      </c>
      <c r="Q21" s="87">
        <f>(Forecast_IS!Q22+Forecast_IS!Q21+Forecast_IS!Q20)/365*60+Summary!S21/12</f>
        <v>1263.4369178139016</v>
      </c>
      <c r="R21" s="87">
        <f>(Forecast_IS!R22+Forecast_IS!R21+Forecast_IS!R20)/365*60+Summary!T21/12</f>
        <v>1277.0418123083853</v>
      </c>
      <c r="S21" s="87">
        <f>(Forecast_IS!S22+Forecast_IS!S21+Forecast_IS!S20)/365*60+Summary!U21/12</f>
        <v>1303.3212058379058</v>
      </c>
    </row>
    <row r="22" spans="1:19" x14ac:dyDescent="0.35">
      <c r="A22" s="51" t="s">
        <v>193</v>
      </c>
      <c r="B22" s="52">
        <f>'Balance Sheet'!E24</f>
        <v>0</v>
      </c>
      <c r="C22" s="52">
        <f>'Balance Sheet'!F24</f>
        <v>900</v>
      </c>
      <c r="D22" s="52">
        <f>'Balance Sheet'!G24</f>
        <v>763</v>
      </c>
      <c r="E22" s="53">
        <f>$D$22</f>
        <v>763</v>
      </c>
      <c r="F22" s="53">
        <f t="shared" ref="F22:S22" si="3">$D$22</f>
        <v>763</v>
      </c>
      <c r="G22" s="53">
        <f t="shared" si="3"/>
        <v>763</v>
      </c>
      <c r="H22" s="53">
        <f t="shared" si="3"/>
        <v>763</v>
      </c>
      <c r="I22" s="53">
        <f t="shared" si="3"/>
        <v>763</v>
      </c>
      <c r="J22" s="82">
        <f t="shared" si="3"/>
        <v>763</v>
      </c>
      <c r="K22" s="82">
        <f t="shared" si="3"/>
        <v>763</v>
      </c>
      <c r="L22" s="82">
        <f t="shared" si="3"/>
        <v>763</v>
      </c>
      <c r="M22" s="82">
        <f t="shared" si="3"/>
        <v>763</v>
      </c>
      <c r="N22" s="82">
        <f t="shared" si="3"/>
        <v>763</v>
      </c>
      <c r="O22" s="87">
        <f t="shared" si="3"/>
        <v>763</v>
      </c>
      <c r="P22" s="87">
        <f t="shared" si="3"/>
        <v>763</v>
      </c>
      <c r="Q22" s="87">
        <f t="shared" si="3"/>
        <v>763</v>
      </c>
      <c r="R22" s="87">
        <f t="shared" si="3"/>
        <v>763</v>
      </c>
      <c r="S22" s="87">
        <f t="shared" si="3"/>
        <v>763</v>
      </c>
    </row>
    <row r="23" spans="1:19" x14ac:dyDescent="0.35">
      <c r="A23" s="54" t="s">
        <v>194</v>
      </c>
      <c r="B23" s="52">
        <f>'Balance Sheet'!E25</f>
        <v>475</v>
      </c>
      <c r="C23" s="52">
        <f>'Balance Sheet'!F25</f>
        <v>1020</v>
      </c>
      <c r="D23" s="52">
        <f>'Balance Sheet'!G25</f>
        <v>1108</v>
      </c>
      <c r="E23" s="53">
        <f>'Balance Sheet'!G25</f>
        <v>1108</v>
      </c>
      <c r="F23" s="53">
        <f>'Balance Sheet'!G25</f>
        <v>1108</v>
      </c>
      <c r="G23" s="53">
        <f>'Balance Sheet'!G25</f>
        <v>1108</v>
      </c>
      <c r="H23" s="53">
        <f>'Balance Sheet'!G25</f>
        <v>1108</v>
      </c>
      <c r="I23" s="53">
        <f>'Balance Sheet'!G25</f>
        <v>1108</v>
      </c>
      <c r="J23" s="82">
        <f>'Balance Sheet'!G25</f>
        <v>1108</v>
      </c>
      <c r="K23" s="82">
        <f>'Balance Sheet'!G25</f>
        <v>1108</v>
      </c>
      <c r="L23" s="82">
        <f>'Balance Sheet'!G25</f>
        <v>1108</v>
      </c>
      <c r="M23" s="82">
        <f>'Balance Sheet'!G25</f>
        <v>1108</v>
      </c>
      <c r="N23" s="82">
        <f>'Balance Sheet'!G25</f>
        <v>1108</v>
      </c>
      <c r="O23" s="87">
        <f>'Balance Sheet'!G25</f>
        <v>1108</v>
      </c>
      <c r="P23" s="87">
        <f>'Balance Sheet'!G25</f>
        <v>1108</v>
      </c>
      <c r="Q23" s="87">
        <f>'Balance Sheet'!G25</f>
        <v>1108</v>
      </c>
      <c r="R23" s="87">
        <f>'Balance Sheet'!G25</f>
        <v>1108</v>
      </c>
      <c r="S23" s="87">
        <f>'Balance Sheet'!G25</f>
        <v>1108</v>
      </c>
    </row>
    <row r="24" spans="1:19" x14ac:dyDescent="0.35">
      <c r="A24" s="51" t="s">
        <v>195</v>
      </c>
      <c r="B24" s="52">
        <f>'Balance Sheet'!E26</f>
        <v>764</v>
      </c>
      <c r="C24" s="52">
        <f>'Balance Sheet'!F26</f>
        <v>1491</v>
      </c>
      <c r="D24" s="52">
        <f>'Balance Sheet'!G26</f>
        <v>1397</v>
      </c>
      <c r="E24" s="53">
        <f>Forecast_IS!E14/365*34</f>
        <v>1444.0655217309313</v>
      </c>
      <c r="F24" s="53">
        <f>Forecast_IS!F14/365*34</f>
        <v>1435.154892887861</v>
      </c>
      <c r="G24" s="53">
        <f>Forecast_IS!G14/365*34</f>
        <v>1393.3925096474939</v>
      </c>
      <c r="H24" s="53">
        <f>Forecast_IS!H14/365*34</f>
        <v>1431.0846495213143</v>
      </c>
      <c r="I24" s="53">
        <f>Forecast_IS!I14/365*34</f>
        <v>1463.2643486022814</v>
      </c>
      <c r="J24" s="82">
        <f>Forecast_IS!J14/365*34</f>
        <v>1689.0939130791451</v>
      </c>
      <c r="K24" s="82">
        <f>Forecast_IS!K14/365*34</f>
        <v>1561.0976288235065</v>
      </c>
      <c r="L24" s="82">
        <f>Forecast_IS!L14/365*34</f>
        <v>1562.8160370418357</v>
      </c>
      <c r="M24" s="82">
        <f>Forecast_IS!M14/365*34</f>
        <v>1609.4055686858123</v>
      </c>
      <c r="N24" s="82">
        <f>Forecast_IS!N14/365*34</f>
        <v>1649.004746463575</v>
      </c>
      <c r="O24" s="87">
        <f>Forecast_IS!O14/365*34</f>
        <v>1878.4835488810954</v>
      </c>
      <c r="P24" s="87">
        <f>Forecast_IS!P14/365*34</f>
        <v>1737.3909061872889</v>
      </c>
      <c r="Q24" s="87">
        <f>Forecast_IS!Q14/365*34</f>
        <v>1803.9464840147903</v>
      </c>
      <c r="R24" s="87">
        <f>Forecast_IS!R14/365*34</f>
        <v>1786.6098044562921</v>
      </c>
      <c r="S24" s="87">
        <f>Forecast_IS!S14/365*34</f>
        <v>1832.8542486056674</v>
      </c>
    </row>
    <row r="25" spans="1:19" x14ac:dyDescent="0.35">
      <c r="A25" s="54" t="s">
        <v>196</v>
      </c>
      <c r="B25" s="52">
        <f>'Balance Sheet'!E28</f>
        <v>29</v>
      </c>
      <c r="C25" s="52">
        <f>'Balance Sheet'!F28</f>
        <v>414</v>
      </c>
      <c r="D25" s="52">
        <f>'Balance Sheet'!G28</f>
        <v>149</v>
      </c>
      <c r="E25" s="53">
        <f>'Balance Sheet'!G28</f>
        <v>149</v>
      </c>
      <c r="F25" s="53">
        <f>'Balance Sheet'!G28</f>
        <v>149</v>
      </c>
      <c r="G25" s="53">
        <f>'Balance Sheet'!G28</f>
        <v>149</v>
      </c>
      <c r="H25" s="53">
        <f>'Balance Sheet'!G28</f>
        <v>149</v>
      </c>
      <c r="I25" s="53">
        <f>'Balance Sheet'!G28</f>
        <v>149</v>
      </c>
      <c r="J25" s="82">
        <f>'Balance Sheet'!G28</f>
        <v>149</v>
      </c>
      <c r="K25" s="82">
        <f>'Balance Sheet'!G28</f>
        <v>149</v>
      </c>
      <c r="L25" s="82">
        <f>'Balance Sheet'!G28</f>
        <v>149</v>
      </c>
      <c r="M25" s="82">
        <f>'Balance Sheet'!G28</f>
        <v>149</v>
      </c>
      <c r="N25" s="82">
        <f>'Balance Sheet'!G28</f>
        <v>149</v>
      </c>
      <c r="O25" s="87">
        <f>'Balance Sheet'!G28</f>
        <v>149</v>
      </c>
      <c r="P25" s="87">
        <f>'Balance Sheet'!G28</f>
        <v>149</v>
      </c>
      <c r="Q25" s="87">
        <f>'Balance Sheet'!G28</f>
        <v>149</v>
      </c>
      <c r="R25" s="87">
        <f>'Balance Sheet'!G28</f>
        <v>149</v>
      </c>
      <c r="S25" s="87">
        <f>'Balance Sheet'!G28</f>
        <v>149</v>
      </c>
    </row>
    <row r="26" spans="1:19" x14ac:dyDescent="0.35">
      <c r="A26" s="58" t="s">
        <v>197</v>
      </c>
      <c r="B26" s="52">
        <f>'Balance Sheet'!E29</f>
        <v>2108</v>
      </c>
      <c r="C26" s="52">
        <f>'Balance Sheet'!F29</f>
        <v>4811</v>
      </c>
      <c r="D26" s="52">
        <f>'Balance Sheet'!G29</f>
        <v>4600</v>
      </c>
      <c r="E26" s="53">
        <f t="shared" ref="E26:S26" si="4">E21+E22+E23+E24+E25</f>
        <v>4609.5978446340796</v>
      </c>
      <c r="F26" s="53">
        <f t="shared" si="4"/>
        <v>4618.099421019695</v>
      </c>
      <c r="G26" s="53">
        <f t="shared" si="4"/>
        <v>4581.06408307725</v>
      </c>
      <c r="H26" s="53">
        <f t="shared" si="4"/>
        <v>4637.437848177191</v>
      </c>
      <c r="I26" s="53">
        <f t="shared" si="4"/>
        <v>4687.6964726236447</v>
      </c>
      <c r="J26" s="82">
        <f t="shared" si="4"/>
        <v>4910.555204860545</v>
      </c>
      <c r="K26" s="82">
        <f t="shared" si="4"/>
        <v>4776.6803330824332</v>
      </c>
      <c r="L26" s="82">
        <f t="shared" si="4"/>
        <v>4795.8185766043971</v>
      </c>
      <c r="M26" s="82">
        <f t="shared" si="4"/>
        <v>4867.5013463432024</v>
      </c>
      <c r="N26" s="82">
        <f t="shared" si="4"/>
        <v>4930.2413282744474</v>
      </c>
      <c r="O26" s="87">
        <f t="shared" si="4"/>
        <v>5133.2319186103286</v>
      </c>
      <c r="P26" s="87">
        <f t="shared" si="4"/>
        <v>4985.5323452365346</v>
      </c>
      <c r="Q26" s="87">
        <f t="shared" si="4"/>
        <v>5087.3834018286916</v>
      </c>
      <c r="R26" s="87">
        <f t="shared" si="4"/>
        <v>5083.6516167646778</v>
      </c>
      <c r="S26" s="87">
        <f t="shared" si="4"/>
        <v>5156.1754544435735</v>
      </c>
    </row>
    <row r="27" spans="1:19" s="67" customFormat="1" x14ac:dyDescent="0.35">
      <c r="A27" s="102"/>
      <c r="B27" s="103"/>
      <c r="C27" s="103"/>
      <c r="D27" s="103"/>
      <c r="E27" s="103"/>
      <c r="F27" s="103"/>
      <c r="G27" s="103"/>
      <c r="H27" s="103"/>
      <c r="I27" s="103"/>
      <c r="J27" s="103"/>
      <c r="K27" s="103"/>
      <c r="L27" s="103"/>
      <c r="M27" s="103"/>
      <c r="N27" s="103"/>
      <c r="O27" s="103"/>
      <c r="P27" s="103"/>
      <c r="Q27" s="103"/>
      <c r="R27" s="103"/>
      <c r="S27" s="104"/>
    </row>
    <row r="28" spans="1:19" s="67" customFormat="1" ht="18" customHeight="1" x14ac:dyDescent="0.35">
      <c r="A28" s="71" t="s">
        <v>198</v>
      </c>
      <c r="B28" s="69"/>
      <c r="C28" s="69"/>
      <c r="D28" s="69"/>
      <c r="E28" s="69"/>
      <c r="F28" s="69"/>
      <c r="G28" s="69"/>
      <c r="H28" s="69"/>
      <c r="I28" s="69"/>
      <c r="J28" s="69"/>
      <c r="K28" s="69"/>
      <c r="L28" s="69"/>
      <c r="M28" s="69"/>
      <c r="N28" s="69"/>
      <c r="O28" s="69"/>
      <c r="P28" s="69"/>
      <c r="Q28" s="69"/>
      <c r="R28" s="69"/>
      <c r="S28" s="70"/>
    </row>
    <row r="29" spans="1:19" x14ac:dyDescent="0.35">
      <c r="A29" s="51" t="s">
        <v>199</v>
      </c>
      <c r="B29" s="52">
        <f>'Balance Sheet'!E30</f>
        <v>6641</v>
      </c>
      <c r="C29" s="52">
        <f>'Balance Sheet'!F30</f>
        <v>12075</v>
      </c>
      <c r="D29" s="52">
        <f>'Balance Sheet'!G30</f>
        <v>13726</v>
      </c>
      <c r="E29" s="53">
        <f>D29+Forecast_CF!E24+Forecast_CF!E25</f>
        <v>12226</v>
      </c>
      <c r="F29" s="53">
        <f>E29+Forecast_CF!F24+Forecast_CF!F25</f>
        <v>10726</v>
      </c>
      <c r="G29" s="53">
        <f>F29+Forecast_CF!G24+Forecast_CF!G25</f>
        <v>9226</v>
      </c>
      <c r="H29" s="53">
        <f>G29+Forecast_CF!H24+Forecast_CF!H25</f>
        <v>7726</v>
      </c>
      <c r="I29" s="53">
        <f>H29+Forecast_CF!I24+Forecast_CF!I25</f>
        <v>6226</v>
      </c>
      <c r="J29" s="82">
        <f>D29+Forecast_CF!J24+Forecast_CF!J25</f>
        <v>12226</v>
      </c>
      <c r="K29" s="82">
        <f>J29+Forecast_CF!K24+Forecast_CF!K25</f>
        <v>10726</v>
      </c>
      <c r="L29" s="82">
        <f>K29+Forecast_CF!L24+Forecast_CF!L25</f>
        <v>9226</v>
      </c>
      <c r="M29" s="82">
        <f>L29+Forecast_CF!M24+Forecast_CF!M25</f>
        <v>7726</v>
      </c>
      <c r="N29" s="82">
        <f>M29+Forecast_CF!N24+Forecast_CF!N25</f>
        <v>6226</v>
      </c>
      <c r="O29" s="87">
        <f>D29+Forecast_CF!O24+Forecast_CF!O25</f>
        <v>12226</v>
      </c>
      <c r="P29" s="87">
        <f>O29+Forecast_CF!P24+Forecast_CF!P25</f>
        <v>10726</v>
      </c>
      <c r="Q29" s="87">
        <f>P29+Forecast_CF!Q24+Forecast_CF!Q25</f>
        <v>9226</v>
      </c>
      <c r="R29" s="87">
        <f>Q29+Forecast_CF!R24+Forecast_CF!R25</f>
        <v>7726</v>
      </c>
      <c r="S29" s="87">
        <f>R29+Forecast_CF!S24+Forecast_CF!S25</f>
        <v>6226</v>
      </c>
    </row>
    <row r="30" spans="1:19" x14ac:dyDescent="0.35">
      <c r="A30" s="54" t="s">
        <v>200</v>
      </c>
      <c r="B30" s="52">
        <f>'Balance Sheet'!E31</f>
        <v>2449</v>
      </c>
      <c r="C30" s="52">
        <f>'Balance Sheet'!F31</f>
        <v>9826</v>
      </c>
      <c r="D30" s="52">
        <f>'Balance Sheet'!G31</f>
        <v>9141</v>
      </c>
      <c r="E30" s="53">
        <f>'Balance Sheet'!G31</f>
        <v>9141</v>
      </c>
      <c r="F30" s="53">
        <f>'Balance Sheet'!G31</f>
        <v>9141</v>
      </c>
      <c r="G30" s="53">
        <f>'Balance Sheet'!G31</f>
        <v>9141</v>
      </c>
      <c r="H30" s="53">
        <f>'Balance Sheet'!G31</f>
        <v>9141</v>
      </c>
      <c r="I30" s="53">
        <f>'Balance Sheet'!G31</f>
        <v>9141</v>
      </c>
      <c r="J30" s="82">
        <f>'Balance Sheet'!G31</f>
        <v>9141</v>
      </c>
      <c r="K30" s="82">
        <f>'Balance Sheet'!G31</f>
        <v>9141</v>
      </c>
      <c r="L30" s="82">
        <f>'Balance Sheet'!G31</f>
        <v>9141</v>
      </c>
      <c r="M30" s="82">
        <f>'Balance Sheet'!G31</f>
        <v>9141</v>
      </c>
      <c r="N30" s="82">
        <f>'Balance Sheet'!G31</f>
        <v>9141</v>
      </c>
      <c r="O30" s="87">
        <f>'Balance Sheet'!G31</f>
        <v>9141</v>
      </c>
      <c r="P30" s="87">
        <f>'Balance Sheet'!G31</f>
        <v>9141</v>
      </c>
      <c r="Q30" s="87">
        <f>'Balance Sheet'!G31</f>
        <v>9141</v>
      </c>
      <c r="R30" s="87">
        <f>'Balance Sheet'!G31</f>
        <v>9141</v>
      </c>
      <c r="S30" s="87">
        <f>'Balance Sheet'!G31</f>
        <v>9141</v>
      </c>
    </row>
    <row r="31" spans="1:19" x14ac:dyDescent="0.35">
      <c r="A31" s="51" t="s">
        <v>201</v>
      </c>
      <c r="B31" s="52">
        <f>'Balance Sheet'!E32</f>
        <v>373</v>
      </c>
      <c r="C31" s="52">
        <f>'Balance Sheet'!F32</f>
        <v>718</v>
      </c>
      <c r="D31" s="52">
        <f>'Balance Sheet'!G32</f>
        <v>625</v>
      </c>
      <c r="E31" s="53">
        <f>'Balance Sheet'!G32</f>
        <v>625</v>
      </c>
      <c r="F31" s="53">
        <f>'Balance Sheet'!G32</f>
        <v>625</v>
      </c>
      <c r="G31" s="53">
        <f>'Balance Sheet'!G32</f>
        <v>625</v>
      </c>
      <c r="H31" s="53">
        <f>'Balance Sheet'!G32</f>
        <v>625</v>
      </c>
      <c r="I31" s="53">
        <f>'Balance Sheet'!G32</f>
        <v>625</v>
      </c>
      <c r="J31" s="82">
        <f>'Balance Sheet'!G32</f>
        <v>625</v>
      </c>
      <c r="K31" s="82">
        <f>'Balance Sheet'!G32</f>
        <v>625</v>
      </c>
      <c r="L31" s="82">
        <f>'Balance Sheet'!G32</f>
        <v>625</v>
      </c>
      <c r="M31" s="82">
        <f>'Balance Sheet'!G32</f>
        <v>625</v>
      </c>
      <c r="N31" s="82">
        <f>'Balance Sheet'!G32</f>
        <v>625</v>
      </c>
      <c r="O31" s="87">
        <f>'Balance Sheet'!G32</f>
        <v>625</v>
      </c>
      <c r="P31" s="87">
        <f>'Balance Sheet'!G32</f>
        <v>625</v>
      </c>
      <c r="Q31" s="87">
        <f>'Balance Sheet'!G32</f>
        <v>625</v>
      </c>
      <c r="R31" s="87">
        <f>'Balance Sheet'!G32</f>
        <v>625</v>
      </c>
      <c r="S31" s="87">
        <f>'Balance Sheet'!G32</f>
        <v>625</v>
      </c>
    </row>
    <row r="32" spans="1:19" x14ac:dyDescent="0.35">
      <c r="A32" s="56" t="s">
        <v>202</v>
      </c>
      <c r="B32" s="52">
        <f>'Balance Sheet'!E33</f>
        <v>11571</v>
      </c>
      <c r="C32" s="52">
        <f>'Balance Sheet'!F33</f>
        <v>27430</v>
      </c>
      <c r="D32" s="52">
        <f>'Balance Sheet'!G33</f>
        <v>28092</v>
      </c>
      <c r="E32" s="53">
        <f t="shared" ref="E32:S32" si="5">E26+E29+E30+E31</f>
        <v>26601.597844634081</v>
      </c>
      <c r="F32" s="53">
        <f t="shared" si="5"/>
        <v>25110.099421019695</v>
      </c>
      <c r="G32" s="53">
        <f t="shared" si="5"/>
        <v>23573.06408307725</v>
      </c>
      <c r="H32" s="53">
        <f t="shared" si="5"/>
        <v>22129.437848177193</v>
      </c>
      <c r="I32" s="53">
        <f t="shared" si="5"/>
        <v>20679.696472623644</v>
      </c>
      <c r="J32" s="82">
        <f t="shared" si="5"/>
        <v>26902.555204860546</v>
      </c>
      <c r="K32" s="82">
        <f t="shared" si="5"/>
        <v>25268.680333082433</v>
      </c>
      <c r="L32" s="82">
        <f t="shared" si="5"/>
        <v>23787.818576604397</v>
      </c>
      <c r="M32" s="82">
        <f t="shared" si="5"/>
        <v>22359.501346343204</v>
      </c>
      <c r="N32" s="82">
        <f t="shared" si="5"/>
        <v>20922.241328274446</v>
      </c>
      <c r="O32" s="87">
        <f t="shared" si="5"/>
        <v>27125.231918610327</v>
      </c>
      <c r="P32" s="87">
        <f t="shared" si="5"/>
        <v>25477.532345236534</v>
      </c>
      <c r="Q32" s="87">
        <f t="shared" si="5"/>
        <v>24079.383401828691</v>
      </c>
      <c r="R32" s="87">
        <f t="shared" si="5"/>
        <v>22575.651616764677</v>
      </c>
      <c r="S32" s="87">
        <f t="shared" si="5"/>
        <v>21148.175454443575</v>
      </c>
    </row>
    <row r="33" spans="1:20" x14ac:dyDescent="0.35">
      <c r="A33" s="59"/>
      <c r="B33" s="203">
        <f>B22+B29</f>
        <v>6641</v>
      </c>
      <c r="C33" s="203">
        <f>C22+C29</f>
        <v>12975</v>
      </c>
      <c r="D33" s="203">
        <f>D22+D29</f>
        <v>14489</v>
      </c>
      <c r="E33" s="59"/>
      <c r="F33" s="59"/>
      <c r="G33" s="59"/>
      <c r="H33" s="59"/>
      <c r="I33" s="59"/>
      <c r="J33" s="59"/>
      <c r="K33" s="59"/>
      <c r="L33" s="59"/>
      <c r="M33" s="59"/>
      <c r="N33" s="59"/>
      <c r="O33" s="59"/>
      <c r="P33" s="59"/>
      <c r="Q33" s="59"/>
      <c r="R33" s="59"/>
      <c r="S33" s="59"/>
    </row>
    <row r="34" spans="1:20" s="67" customFormat="1" ht="18" customHeight="1" x14ac:dyDescent="0.35">
      <c r="A34" s="71" t="s">
        <v>203</v>
      </c>
      <c r="B34" s="69"/>
      <c r="C34" s="69"/>
      <c r="D34" s="69"/>
      <c r="E34" s="69"/>
      <c r="F34" s="69"/>
      <c r="G34" s="69"/>
      <c r="H34" s="69"/>
      <c r="I34" s="69"/>
      <c r="J34" s="69"/>
      <c r="K34" s="69"/>
      <c r="L34" s="69"/>
      <c r="M34" s="69"/>
      <c r="N34" s="69"/>
      <c r="O34" s="69"/>
      <c r="P34" s="69"/>
      <c r="Q34" s="69"/>
      <c r="R34" s="69"/>
      <c r="S34" s="70"/>
    </row>
    <row r="35" spans="1:20" x14ac:dyDescent="0.35">
      <c r="A35" s="51" t="s">
        <v>204</v>
      </c>
      <c r="B35" s="52">
        <f>'Balance Sheet'!E36</f>
        <v>2</v>
      </c>
      <c r="C35" s="52">
        <f>'Balance Sheet'!F36</f>
        <v>3</v>
      </c>
      <c r="D35" s="52">
        <f>'Balance Sheet'!G36</f>
        <v>3</v>
      </c>
      <c r="E35" s="53">
        <f>'Balance Sheet'!G36</f>
        <v>3</v>
      </c>
      <c r="F35" s="53">
        <f>'Balance Sheet'!G36</f>
        <v>3</v>
      </c>
      <c r="G35" s="53">
        <f>'Balance Sheet'!G36</f>
        <v>3</v>
      </c>
      <c r="H35" s="53">
        <f>'Balance Sheet'!G36</f>
        <v>3</v>
      </c>
      <c r="I35" s="53">
        <f>'Balance Sheet'!G36</f>
        <v>3</v>
      </c>
      <c r="J35" s="82">
        <f>'Balance Sheet'!G36</f>
        <v>3</v>
      </c>
      <c r="K35" s="82">
        <f>'Balance Sheet'!G36</f>
        <v>3</v>
      </c>
      <c r="L35" s="82">
        <f>'Balance Sheet'!G36</f>
        <v>3</v>
      </c>
      <c r="M35" s="82">
        <f>'Balance Sheet'!G36</f>
        <v>3</v>
      </c>
      <c r="N35" s="82">
        <f>'Balance Sheet'!G36</f>
        <v>3</v>
      </c>
      <c r="O35" s="87">
        <f>'Balance Sheet'!G36</f>
        <v>3</v>
      </c>
      <c r="P35" s="87">
        <f>'Balance Sheet'!G36</f>
        <v>3</v>
      </c>
      <c r="Q35" s="87">
        <f>'Balance Sheet'!G36</f>
        <v>3</v>
      </c>
      <c r="R35" s="87">
        <f>'Balance Sheet'!G36</f>
        <v>3</v>
      </c>
      <c r="S35" s="87">
        <f>'Balance Sheet'!G36</f>
        <v>3</v>
      </c>
    </row>
    <row r="36" spans="1:20" x14ac:dyDescent="0.35">
      <c r="A36" s="54" t="s">
        <v>205</v>
      </c>
      <c r="B36" s="52">
        <f>'Balance Sheet'!E37</f>
        <v>14142</v>
      </c>
      <c r="C36" s="52">
        <f>'Balance Sheet'!F37</f>
        <v>33501</v>
      </c>
      <c r="D36" s="52">
        <f>'Balance Sheet'!G37</f>
        <v>32236</v>
      </c>
      <c r="E36" s="53">
        <f>D36+Forecast_CF!E26</f>
        <v>30136</v>
      </c>
      <c r="F36" s="53">
        <f>E36+Forecast_CF!F26</f>
        <v>28636</v>
      </c>
      <c r="G36" s="53">
        <f>F36+Forecast_CF!G26</f>
        <v>27436</v>
      </c>
      <c r="H36" s="53">
        <f>G36+Forecast_CF!H26</f>
        <v>26436</v>
      </c>
      <c r="I36" s="53">
        <f>H36+Forecast_CF!I26</f>
        <v>25436</v>
      </c>
      <c r="J36" s="82">
        <f>D36+Forecast_CF!J26</f>
        <v>30136</v>
      </c>
      <c r="K36" s="82">
        <f>E36+Forecast_CF!K26</f>
        <v>28636</v>
      </c>
      <c r="L36" s="82">
        <f>F36+Forecast_CF!L26</f>
        <v>27436</v>
      </c>
      <c r="M36" s="82">
        <f>G36+Forecast_CF!M26</f>
        <v>26436</v>
      </c>
      <c r="N36" s="82">
        <f>H36+Forecast_CF!N26</f>
        <v>25436</v>
      </c>
      <c r="O36" s="87">
        <f>D36+Forecast_CF!O26</f>
        <v>30136</v>
      </c>
      <c r="P36" s="87">
        <f>E36+Forecast_CF!P26</f>
        <v>28636</v>
      </c>
      <c r="Q36" s="87">
        <f>F36+Forecast_CF!Q26</f>
        <v>27436</v>
      </c>
      <c r="R36" s="87">
        <f>G36+Forecast_CF!R26</f>
        <v>26436</v>
      </c>
      <c r="S36" s="87">
        <f>H36+Forecast_CF!S26</f>
        <v>25436</v>
      </c>
    </row>
    <row r="37" spans="1:20" x14ac:dyDescent="0.35">
      <c r="A37" s="58" t="s">
        <v>206</v>
      </c>
      <c r="B37" s="52">
        <f>'Balance Sheet'!E38</f>
        <v>2489</v>
      </c>
      <c r="C37" s="52">
        <f>'Balance Sheet'!F38</f>
        <v>4238</v>
      </c>
      <c r="D37" s="52">
        <f>'Balance Sheet'!G38</f>
        <v>4740</v>
      </c>
      <c r="E37" s="53">
        <f>D37+Forecast_IS!E47+Forecast_CF!E27</f>
        <v>7372.5506049942742</v>
      </c>
      <c r="F37" s="53">
        <f>E37+Forecast_IS!F47+Forecast_CF!F27</f>
        <v>9872.5786553116668</v>
      </c>
      <c r="G37" s="53">
        <f>F37+Forecast_IS!G47+Forecast_CF!G27</f>
        <v>12118.705675167159</v>
      </c>
      <c r="H37" s="53">
        <f>G37+Forecast_IS!H47+Forecast_CF!H27</f>
        <v>14480.093961780076</v>
      </c>
      <c r="I37" s="53">
        <f>H37+Forecast_IS!I47+Forecast_CF!I27</f>
        <v>16942.781419393676</v>
      </c>
      <c r="J37" s="82">
        <f>D37+Forecast_IS!J47+Forecast_CF!J27</f>
        <v>8429.5004523664211</v>
      </c>
      <c r="K37" s="82">
        <f>J37+Forecast_IS!K47+Forecast_CF!K27</f>
        <v>11435.04234708144</v>
      </c>
      <c r="L37" s="82">
        <f>K37+Forecast_IS!L47+Forecast_CF!L27</f>
        <v>14354.258729863557</v>
      </c>
      <c r="M37" s="82">
        <f>L37+Forecast_IS!M47+Forecast_CF!M27</f>
        <v>17401.278167245007</v>
      </c>
      <c r="N37" s="82">
        <f>M37+Forecast_IS!N47+Forecast_CF!N27</f>
        <v>20556.448758544248</v>
      </c>
      <c r="O37" s="87">
        <f>D37+Forecast_IS!O47+Forecast_CF!O27</f>
        <v>9262.2334049705241</v>
      </c>
      <c r="P37" s="87">
        <f>O37+Forecast_IS!P47+Forecast_CF!P27</f>
        <v>13024.41582109911</v>
      </c>
      <c r="Q37" s="87">
        <f>P37+Forecast_IS!Q47+Forecast_CF!Q27</f>
        <v>16964.853802802809</v>
      </c>
      <c r="R37" s="87">
        <f>Q37+Forecast_IS!R47+Forecast_CF!R27</f>
        <v>20730.494028960966</v>
      </c>
      <c r="S37" s="87">
        <f>R37+Forecast_IS!S47+Forecast_CF!S27</f>
        <v>24617.32762643048</v>
      </c>
    </row>
    <row r="38" spans="1:20" x14ac:dyDescent="0.35">
      <c r="A38" s="54" t="s">
        <v>207</v>
      </c>
      <c r="B38" s="52">
        <f>'Balance Sheet'!E39</f>
        <v>-8</v>
      </c>
      <c r="C38" s="52">
        <f>'Balance Sheet'!F39</f>
        <v>-6</v>
      </c>
      <c r="D38" s="52">
        <f>'Balance Sheet'!G39</f>
        <v>-7</v>
      </c>
      <c r="E38" s="53">
        <f>'Balance Sheet'!G39</f>
        <v>-7</v>
      </c>
      <c r="F38" s="53">
        <f>'Balance Sheet'!G39</f>
        <v>-7</v>
      </c>
      <c r="G38" s="53">
        <f>'Balance Sheet'!G39</f>
        <v>-7</v>
      </c>
      <c r="H38" s="53">
        <f>'Balance Sheet'!G39</f>
        <v>-7</v>
      </c>
      <c r="I38" s="53">
        <f>'Balance Sheet'!G39</f>
        <v>-7</v>
      </c>
      <c r="J38" s="82">
        <f>'Balance Sheet'!G39</f>
        <v>-7</v>
      </c>
      <c r="K38" s="82">
        <f>'Balance Sheet'!G39</f>
        <v>-7</v>
      </c>
      <c r="L38" s="82">
        <f>'Balance Sheet'!G39</f>
        <v>-7</v>
      </c>
      <c r="M38" s="82">
        <f>'Balance Sheet'!G39</f>
        <v>-7</v>
      </c>
      <c r="N38" s="82">
        <f>'Balance Sheet'!G39</f>
        <v>-7</v>
      </c>
      <c r="O38" s="87">
        <f>'Balance Sheet'!G39</f>
        <v>-7</v>
      </c>
      <c r="P38" s="87">
        <f>'Balance Sheet'!G39</f>
        <v>-7</v>
      </c>
      <c r="Q38" s="87">
        <f>'Balance Sheet'!G39</f>
        <v>-7</v>
      </c>
      <c r="R38" s="87">
        <f>'Balance Sheet'!G39</f>
        <v>-7</v>
      </c>
      <c r="S38" s="87">
        <f>'Balance Sheet'!G39</f>
        <v>-7</v>
      </c>
    </row>
    <row r="39" spans="1:20" x14ac:dyDescent="0.35">
      <c r="A39" s="58" t="s">
        <v>208</v>
      </c>
      <c r="B39" s="52">
        <f>'Balance Sheet'!E40</f>
        <v>16625</v>
      </c>
      <c r="C39" s="52">
        <f>'Balance Sheet'!F40</f>
        <v>37736</v>
      </c>
      <c r="D39" s="52">
        <f>'Balance Sheet'!G40</f>
        <v>36972</v>
      </c>
      <c r="E39" s="53">
        <f t="shared" ref="E39:S39" si="6">E35+E36+E37+E38</f>
        <v>37504.550604994278</v>
      </c>
      <c r="F39" s="53">
        <f>F35+F36+F37+F38</f>
        <v>38504.578655311663</v>
      </c>
      <c r="G39" s="53">
        <f t="shared" si="6"/>
        <v>39550.705675167163</v>
      </c>
      <c r="H39" s="53">
        <f t="shared" si="6"/>
        <v>40912.093961780076</v>
      </c>
      <c r="I39" s="53">
        <f t="shared" si="6"/>
        <v>42374.781419393679</v>
      </c>
      <c r="J39" s="82">
        <f t="shared" si="6"/>
        <v>38561.500452366425</v>
      </c>
      <c r="K39" s="82">
        <f t="shared" si="6"/>
        <v>40067.042347081442</v>
      </c>
      <c r="L39" s="82">
        <f t="shared" si="6"/>
        <v>41786.258729863555</v>
      </c>
      <c r="M39" s="82">
        <f t="shared" si="6"/>
        <v>43833.278167245007</v>
      </c>
      <c r="N39" s="82">
        <f t="shared" si="6"/>
        <v>45988.448758544248</v>
      </c>
      <c r="O39" s="87">
        <f t="shared" si="6"/>
        <v>39394.233404970524</v>
      </c>
      <c r="P39" s="87">
        <f t="shared" si="6"/>
        <v>41656.415821099108</v>
      </c>
      <c r="Q39" s="87">
        <f t="shared" si="6"/>
        <v>44396.853802802812</v>
      </c>
      <c r="R39" s="87">
        <f t="shared" si="6"/>
        <v>47162.494028960966</v>
      </c>
      <c r="S39" s="87">
        <f t="shared" si="6"/>
        <v>50049.32762643048</v>
      </c>
    </row>
    <row r="40" spans="1:20" x14ac:dyDescent="0.35">
      <c r="A40" s="54" t="s">
        <v>209</v>
      </c>
      <c r="B40" s="52">
        <f>'Balance Sheet'!E41</f>
        <v>805</v>
      </c>
      <c r="C40" s="52">
        <f>'Balance Sheet'!F41</f>
        <v>2126</v>
      </c>
      <c r="D40" s="52">
        <f>'Balance Sheet'!G41</f>
        <v>5995</v>
      </c>
      <c r="E40" s="53">
        <f>D40+Forecast_IS!E45+Forecast_CF!E29</f>
        <v>6104.4880203306157</v>
      </c>
      <c r="F40" s="53">
        <f>E40+Forecast_IS!F45+Forecast_CF!F29</f>
        <v>6213.3004431227218</v>
      </c>
      <c r="G40" s="53">
        <f>F40+Forecast_IS!G45+Forecast_CF!G29</f>
        <v>6318.9464717336305</v>
      </c>
      <c r="H40" s="53">
        <f>G40+Forecast_IS!H45+Forecast_CF!H29</f>
        <v>6427.4502915698722</v>
      </c>
      <c r="I40" s="53">
        <f>H40+Forecast_IS!I45+Forecast_CF!I29</f>
        <v>6538.3939532929198</v>
      </c>
      <c r="J40" s="82">
        <f>D40+Forecast_IS!J45+Forecast_CF!J29</f>
        <v>6123.0658986123126</v>
      </c>
      <c r="K40" s="82">
        <f>J40+Forecast_IS!K45+Forecast_CF!K29</f>
        <v>6241.4272100283133</v>
      </c>
      <c r="L40" s="82">
        <f>K40+Forecast_IS!L45+Forecast_CF!L29</f>
        <v>6359.9188099326921</v>
      </c>
      <c r="M40" s="82">
        <f>L40+Forecast_IS!M45+Forecast_CF!M29</f>
        <v>6481.9427949754654</v>
      </c>
      <c r="N40" s="82">
        <f>M40+Forecast_IS!N45+Forecast_CF!N29</f>
        <v>6606.9691615004931</v>
      </c>
      <c r="O40" s="87">
        <f>D40+Forecast_IS!O45+Forecast_CF!O29</f>
        <v>6137.4252860383322</v>
      </c>
      <c r="P40" s="87">
        <f>O40+Forecast_IS!P45+Forecast_CF!P29</f>
        <v>6269.1530283023048</v>
      </c>
      <c r="Q40" s="87">
        <f>P40+Forecast_IS!Q45+Forecast_CF!Q29</f>
        <v>6405.9269671194352</v>
      </c>
      <c r="R40" s="87">
        <f>Q40+Forecast_IS!R45+Forecast_CF!R29</f>
        <v>6541.3864512283817</v>
      </c>
      <c r="S40" s="87">
        <f>R40+Forecast_IS!S45+Forecast_CF!S29</f>
        <v>6680.3521561874286</v>
      </c>
    </row>
    <row r="41" spans="1:20" x14ac:dyDescent="0.35">
      <c r="A41" s="58" t="s">
        <v>210</v>
      </c>
      <c r="B41" s="52">
        <f>'Balance Sheet'!E42</f>
        <v>17430</v>
      </c>
      <c r="C41" s="52">
        <f>'Balance Sheet'!F42</f>
        <v>39862</v>
      </c>
      <c r="D41" s="52">
        <f>'Balance Sheet'!G42</f>
        <v>42967</v>
      </c>
      <c r="E41" s="53">
        <f>E39+E40</f>
        <v>43609.038625324894</v>
      </c>
      <c r="F41" s="53">
        <f t="shared" ref="F41:S41" si="7">F39+F40</f>
        <v>44717.879098434387</v>
      </c>
      <c r="G41" s="53">
        <f t="shared" si="7"/>
        <v>45869.652146900793</v>
      </c>
      <c r="H41" s="53">
        <f t="shared" si="7"/>
        <v>47339.544253349944</v>
      </c>
      <c r="I41" s="53">
        <f t="shared" si="7"/>
        <v>48913.175372686601</v>
      </c>
      <c r="J41" s="82">
        <f t="shared" si="7"/>
        <v>44684.566350978741</v>
      </c>
      <c r="K41" s="82">
        <f t="shared" si="7"/>
        <v>46308.469557109755</v>
      </c>
      <c r="L41" s="82">
        <f t="shared" si="7"/>
        <v>48146.177539796248</v>
      </c>
      <c r="M41" s="82">
        <f t="shared" si="7"/>
        <v>50315.220962220475</v>
      </c>
      <c r="N41" s="82">
        <f t="shared" si="7"/>
        <v>52595.41792004474</v>
      </c>
      <c r="O41" s="87">
        <f t="shared" si="7"/>
        <v>45531.658691008859</v>
      </c>
      <c r="P41" s="87">
        <f t="shared" si="7"/>
        <v>47925.56884940141</v>
      </c>
      <c r="Q41" s="87">
        <f t="shared" si="7"/>
        <v>50802.780769922247</v>
      </c>
      <c r="R41" s="87">
        <f t="shared" si="7"/>
        <v>53703.880480189349</v>
      </c>
      <c r="S41" s="87">
        <f t="shared" si="7"/>
        <v>56729.67978261791</v>
      </c>
    </row>
    <row r="42" spans="1:20" x14ac:dyDescent="0.35">
      <c r="A42" s="56" t="s">
        <v>211</v>
      </c>
      <c r="B42" s="52">
        <f>'Balance Sheet'!E43</f>
        <v>29001</v>
      </c>
      <c r="C42" s="52">
        <f>'Balance Sheet'!F43</f>
        <v>67292</v>
      </c>
      <c r="D42" s="52">
        <f>'Balance Sheet'!G43</f>
        <v>71059</v>
      </c>
      <c r="E42" s="53">
        <f t="shared" ref="E42:S42" si="8">E32+E41</f>
        <v>70210.636469958976</v>
      </c>
      <c r="F42" s="53">
        <f t="shared" si="8"/>
        <v>69827.978519454075</v>
      </c>
      <c r="G42" s="53">
        <f t="shared" si="8"/>
        <v>69442.716229978047</v>
      </c>
      <c r="H42" s="53">
        <f t="shared" si="8"/>
        <v>69468.98210152713</v>
      </c>
      <c r="I42" s="53">
        <f t="shared" si="8"/>
        <v>69592.871845310248</v>
      </c>
      <c r="J42" s="82">
        <f t="shared" si="8"/>
        <v>71587.121555839287</v>
      </c>
      <c r="K42" s="82">
        <f t="shared" si="8"/>
        <v>71577.149890192188</v>
      </c>
      <c r="L42" s="82">
        <f t="shared" si="8"/>
        <v>71933.996116400638</v>
      </c>
      <c r="M42" s="82">
        <f t="shared" si="8"/>
        <v>72674.72230856368</v>
      </c>
      <c r="N42" s="82">
        <f t="shared" si="8"/>
        <v>73517.659248319193</v>
      </c>
      <c r="O42" s="87">
        <f t="shared" si="8"/>
        <v>72656.890609619179</v>
      </c>
      <c r="P42" s="87">
        <f t="shared" si="8"/>
        <v>73403.101194637944</v>
      </c>
      <c r="Q42" s="87">
        <f t="shared" si="8"/>
        <v>74882.164171750934</v>
      </c>
      <c r="R42" s="87">
        <f t="shared" si="8"/>
        <v>76279.532096954033</v>
      </c>
      <c r="S42" s="87">
        <f t="shared" si="8"/>
        <v>77877.855237061478</v>
      </c>
    </row>
    <row r="43" spans="1:20" x14ac:dyDescent="0.35">
      <c r="A43" s="59"/>
      <c r="B43" s="59"/>
      <c r="C43" s="59"/>
      <c r="D43" s="59"/>
      <c r="E43" s="59"/>
      <c r="F43" s="59"/>
      <c r="G43" s="59"/>
      <c r="H43" s="59"/>
      <c r="I43" s="59"/>
      <c r="J43" s="59"/>
      <c r="K43" s="59"/>
      <c r="L43" s="59"/>
      <c r="M43" s="59"/>
      <c r="N43" s="59"/>
      <c r="O43" s="59"/>
      <c r="P43" s="59"/>
      <c r="Q43" s="59"/>
      <c r="R43" s="59"/>
      <c r="S43" s="59"/>
    </row>
    <row r="44" spans="1:20" x14ac:dyDescent="0.35">
      <c r="A44" s="65" t="s">
        <v>212</v>
      </c>
      <c r="B44" s="66">
        <f>'Balance Sheet'!E19-'Balance Sheet'!E43</f>
        <v>0</v>
      </c>
      <c r="C44" s="66">
        <f>'Balance Sheet'!F19-'Balance Sheet'!F43</f>
        <v>0</v>
      </c>
      <c r="D44" s="66">
        <f>'Balance Sheet'!G19-'Balance Sheet'!G43</f>
        <v>0</v>
      </c>
      <c r="E44" s="66">
        <f t="shared" ref="E44:S44" si="9">E18-E42</f>
        <v>13</v>
      </c>
      <c r="F44" s="66">
        <f t="shared" si="9"/>
        <v>13.000000000014552</v>
      </c>
      <c r="G44" s="66">
        <f t="shared" si="9"/>
        <v>12.999999999985448</v>
      </c>
      <c r="H44" s="66">
        <f t="shared" si="9"/>
        <v>13</v>
      </c>
      <c r="I44" s="66">
        <f t="shared" si="9"/>
        <v>12.999999999985448</v>
      </c>
      <c r="J44" s="66">
        <f t="shared" si="9"/>
        <v>12.999999999985448</v>
      </c>
      <c r="K44" s="66">
        <f t="shared" si="9"/>
        <v>13</v>
      </c>
      <c r="L44" s="66">
        <f t="shared" si="9"/>
        <v>13</v>
      </c>
      <c r="M44" s="66">
        <f t="shared" si="9"/>
        <v>13</v>
      </c>
      <c r="N44" s="66">
        <f t="shared" si="9"/>
        <v>12.999999999985448</v>
      </c>
      <c r="O44" s="66">
        <f t="shared" si="9"/>
        <v>13</v>
      </c>
      <c r="P44" s="66">
        <f t="shared" si="9"/>
        <v>13</v>
      </c>
      <c r="Q44" s="66">
        <f t="shared" si="9"/>
        <v>13</v>
      </c>
      <c r="R44" s="66">
        <f t="shared" si="9"/>
        <v>12.999999999985448</v>
      </c>
      <c r="S44" s="66">
        <f t="shared" si="9"/>
        <v>13</v>
      </c>
      <c r="T44" t="s">
        <v>421</v>
      </c>
    </row>
  </sheetData>
  <mergeCells count="5">
    <mergeCell ref="O2:S2"/>
    <mergeCell ref="A1:S1"/>
    <mergeCell ref="J2:N2"/>
    <mergeCell ref="E2:I2"/>
    <mergeCell ref="B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36"/>
  <sheetViews>
    <sheetView showGridLines="0" zoomScale="85" zoomScaleNormal="87" workbookViewId="0">
      <pane xSplit="4" ySplit="3" topLeftCell="E4" activePane="bottomRight" state="frozen"/>
      <selection pane="topRight"/>
      <selection pane="bottomLeft"/>
      <selection pane="bottomRight" activeCell="D21" sqref="D21"/>
    </sheetView>
  </sheetViews>
  <sheetFormatPr defaultRowHeight="14.5" x14ac:dyDescent="0.35"/>
  <cols>
    <col min="1" max="1" width="42" customWidth="1"/>
    <col min="2" max="4" width="11" customWidth="1"/>
    <col min="5" max="19" width="10" customWidth="1"/>
  </cols>
  <sheetData>
    <row r="1" spans="1:19" ht="26" customHeight="1" x14ac:dyDescent="0.35">
      <c r="A1" s="252" t="s">
        <v>213</v>
      </c>
      <c r="B1" s="269"/>
      <c r="C1" s="269"/>
      <c r="D1" s="269"/>
      <c r="E1" s="269"/>
      <c r="F1" s="269"/>
      <c r="G1" s="269"/>
      <c r="H1" s="269"/>
      <c r="I1" s="269"/>
      <c r="J1" s="269"/>
      <c r="K1" s="269"/>
      <c r="L1" s="269"/>
      <c r="M1" s="269"/>
      <c r="N1" s="269"/>
      <c r="O1" s="269"/>
      <c r="P1" s="269"/>
      <c r="Q1" s="269"/>
      <c r="R1" s="269"/>
      <c r="S1" s="269"/>
    </row>
    <row r="2" spans="1:19" ht="18" customHeight="1" x14ac:dyDescent="0.35">
      <c r="B2" s="273" t="s">
        <v>150</v>
      </c>
      <c r="C2" s="274"/>
      <c r="D2" s="275"/>
      <c r="E2" s="266" t="s">
        <v>174</v>
      </c>
      <c r="F2" s="267"/>
      <c r="G2" s="267"/>
      <c r="H2" s="267"/>
      <c r="I2" s="268"/>
      <c r="J2" s="270" t="s">
        <v>175</v>
      </c>
      <c r="K2" s="271"/>
      <c r="L2" s="271"/>
      <c r="M2" s="271"/>
      <c r="N2" s="272"/>
      <c r="O2" s="260" t="s">
        <v>176</v>
      </c>
      <c r="P2" s="261"/>
      <c r="Q2" s="261"/>
      <c r="R2" s="261"/>
      <c r="S2" s="262"/>
    </row>
    <row r="3" spans="1:19" ht="16" customHeight="1" x14ac:dyDescent="0.35">
      <c r="B3" s="78" t="s">
        <v>17</v>
      </c>
      <c r="C3" s="78" t="s">
        <v>18</v>
      </c>
      <c r="D3" s="78" t="s">
        <v>19</v>
      </c>
      <c r="E3" s="79" t="s">
        <v>0</v>
      </c>
      <c r="F3" s="79" t="s">
        <v>1</v>
      </c>
      <c r="G3" s="79" t="s">
        <v>2</v>
      </c>
      <c r="H3" s="79" t="s">
        <v>3</v>
      </c>
      <c r="I3" s="79" t="s">
        <v>4</v>
      </c>
      <c r="J3" s="80" t="s">
        <v>0</v>
      </c>
      <c r="K3" s="80" t="s">
        <v>1</v>
      </c>
      <c r="L3" s="80" t="s">
        <v>2</v>
      </c>
      <c r="M3" s="80" t="s">
        <v>3</v>
      </c>
      <c r="N3" s="80" t="s">
        <v>4</v>
      </c>
      <c r="O3" s="81" t="s">
        <v>0</v>
      </c>
      <c r="P3" s="81" t="s">
        <v>1</v>
      </c>
      <c r="Q3" s="81" t="s">
        <v>2</v>
      </c>
      <c r="R3" s="81" t="s">
        <v>3</v>
      </c>
      <c r="S3" s="81" t="s">
        <v>4</v>
      </c>
    </row>
    <row r="4" spans="1:19" s="67" customFormat="1" ht="18" customHeight="1" x14ac:dyDescent="0.35">
      <c r="A4" s="88" t="s">
        <v>367</v>
      </c>
      <c r="B4" s="69"/>
      <c r="C4" s="69"/>
      <c r="D4" s="69"/>
      <c r="E4" s="69"/>
      <c r="F4" s="69"/>
      <c r="G4" s="69"/>
      <c r="H4" s="69"/>
      <c r="I4" s="69"/>
      <c r="J4" s="69"/>
      <c r="K4" s="69"/>
      <c r="L4" s="69"/>
      <c r="M4" s="69"/>
      <c r="N4" s="69"/>
      <c r="O4" s="69"/>
      <c r="P4" s="69"/>
      <c r="Q4" s="69"/>
      <c r="R4" s="69"/>
      <c r="S4" s="70"/>
    </row>
    <row r="5" spans="1:19" x14ac:dyDescent="0.35">
      <c r="A5" s="101" t="s">
        <v>166</v>
      </c>
      <c r="B5" s="52">
        <f>'Cash Flow Statement'!E4</f>
        <v>3336</v>
      </c>
      <c r="C5" s="52">
        <f>'Cash Flow Statement'!F4</f>
        <v>3701</v>
      </c>
      <c r="D5" s="52">
        <f>'Cash Flow Statement'!G4</f>
        <v>1547</v>
      </c>
      <c r="E5" s="53">
        <f>Forecast_IS!E44</f>
        <v>5158.9487577690397</v>
      </c>
      <c r="F5" s="53">
        <f>Forecast_IS!F44</f>
        <v>4923.2568547407482</v>
      </c>
      <c r="G5" s="53">
        <f>Forecast_IS!G44</f>
        <v>4462.398837270016</v>
      </c>
      <c r="H5" s="53">
        <f>Forecast_IS!H44</f>
        <v>4678.6623203422632</v>
      </c>
      <c r="I5" s="53">
        <f>Forecast_IS!I44</f>
        <v>4868.3725412957492</v>
      </c>
      <c r="J5" s="82">
        <f>Forecast_IS!J44</f>
        <v>7104.2207934505186</v>
      </c>
      <c r="K5" s="82">
        <f>Forecast_IS!K44</f>
        <v>5856.9282197730918</v>
      </c>
      <c r="L5" s="82">
        <f>Forecast_IS!L44</f>
        <v>5706.2296908397748</v>
      </c>
      <c r="M5" s="82">
        <f>Forecast_IS!M44</f>
        <v>5947.8305275315588</v>
      </c>
      <c r="N5" s="82">
        <f>Forecast_IS!N44</f>
        <v>6152.3464523279736</v>
      </c>
      <c r="O5" s="87">
        <f>Forecast_IS!O44</f>
        <v>8635.4535027894708</v>
      </c>
      <c r="P5" s="87">
        <f>Forecast_IS!P44</f>
        <v>7249.8263860619218</v>
      </c>
      <c r="Q5" s="87">
        <f>Forecast_IS!Q44</f>
        <v>7587.3959054564593</v>
      </c>
      <c r="R5" s="87">
        <f>Forecast_IS!R44</f>
        <v>7274.4156286696543</v>
      </c>
      <c r="S5" s="87">
        <f>Forecast_IS!S44</f>
        <v>7504.298509733484</v>
      </c>
    </row>
    <row r="6" spans="1:19" x14ac:dyDescent="0.35">
      <c r="A6" s="76" t="s">
        <v>364</v>
      </c>
      <c r="B6" s="52">
        <f>'Cash Flow Statement'!E7</f>
        <v>1746</v>
      </c>
      <c r="C6" s="52">
        <f>'Cash Flow Statement'!F7</f>
        <v>2850</v>
      </c>
      <c r="D6" s="52">
        <f>'Cash Flow Statement'!G7</f>
        <v>5038</v>
      </c>
      <c r="E6" s="53">
        <f>Forecast_IS!E31</f>
        <v>5256.7567874999995</v>
      </c>
      <c r="F6" s="53">
        <f>Forecast_IS!F31</f>
        <v>5434.0886150624992</v>
      </c>
      <c r="G6" s="53">
        <f>Forecast_IS!G31</f>
        <v>5576.0058298546865</v>
      </c>
      <c r="H6" s="53">
        <f>Forecast_IS!H31</f>
        <v>5693.8974017086393</v>
      </c>
      <c r="I6" s="53">
        <f>Forecast_IS!I31</f>
        <v>5792.4648892014256</v>
      </c>
      <c r="J6" s="82">
        <f>Forecast_IS!J31</f>
        <v>5293.9810499999994</v>
      </c>
      <c r="K6" s="82">
        <f>Forecast_IS!K31</f>
        <v>5511.3627555000003</v>
      </c>
      <c r="L6" s="82">
        <f>Forecast_IS!L31</f>
        <v>5689.1652035400002</v>
      </c>
      <c r="M6" s="82">
        <f>Forecast_IS!M31</f>
        <v>5844.3543616184988</v>
      </c>
      <c r="N6" s="82">
        <f>Forecast_IS!N31</f>
        <v>5981.4797554614388</v>
      </c>
      <c r="O6" s="87">
        <f>Forecast_IS!O31</f>
        <v>5319.1943624999994</v>
      </c>
      <c r="P6" s="87">
        <f>Forecast_IS!P31</f>
        <v>5564.2065268124989</v>
      </c>
      <c r="Q6" s="87">
        <f>Forecast_IS!Q31</f>
        <v>5771.5337222915605</v>
      </c>
      <c r="R6" s="87">
        <f>Forecast_IS!R31</f>
        <v>5957.8257995177601</v>
      </c>
      <c r="S6" s="87">
        <f>Forecast_IS!S31</f>
        <v>6120.4433526854564</v>
      </c>
    </row>
    <row r="7" spans="1:19" x14ac:dyDescent="0.35">
      <c r="A7" s="77" t="s">
        <v>365</v>
      </c>
      <c r="B7" s="52">
        <f>'Cash Flow Statement'!E6</f>
        <v>378</v>
      </c>
      <c r="C7" s="52">
        <f>'Cash Flow Statement'!F6</f>
        <v>15</v>
      </c>
      <c r="D7" s="52">
        <f>'Cash Flow Statement'!G6</f>
        <v>-519</v>
      </c>
      <c r="E7" s="53">
        <f>0</f>
        <v>0</v>
      </c>
      <c r="F7" s="53">
        <f>0</f>
        <v>0</v>
      </c>
      <c r="G7" s="53">
        <f>0</f>
        <v>0</v>
      </c>
      <c r="H7" s="53">
        <f>0</f>
        <v>0</v>
      </c>
      <c r="I7" s="53">
        <f>0</f>
        <v>0</v>
      </c>
      <c r="J7" s="82">
        <f>0</f>
        <v>0</v>
      </c>
      <c r="K7" s="82">
        <f>0</f>
        <v>0</v>
      </c>
      <c r="L7" s="82">
        <f>0</f>
        <v>0</v>
      </c>
      <c r="M7" s="82">
        <f>0</f>
        <v>0</v>
      </c>
      <c r="N7" s="82">
        <f>0</f>
        <v>0</v>
      </c>
      <c r="O7" s="87">
        <f>0</f>
        <v>0</v>
      </c>
      <c r="P7" s="87">
        <f>0</f>
        <v>0</v>
      </c>
      <c r="Q7" s="87">
        <f>0</f>
        <v>0</v>
      </c>
      <c r="R7" s="87">
        <f>0</f>
        <v>0</v>
      </c>
      <c r="S7" s="87">
        <f>0</f>
        <v>0</v>
      </c>
    </row>
    <row r="8" spans="1:19" x14ac:dyDescent="0.35">
      <c r="A8" s="76" t="s">
        <v>366</v>
      </c>
      <c r="B8" s="52">
        <f>'Cash Flow Statement'!E12</f>
        <v>11</v>
      </c>
      <c r="C8" s="52">
        <f>'Cash Flow Statement'!F12</f>
        <v>133</v>
      </c>
      <c r="D8" s="52">
        <f>'Cash Flow Statement'!G12</f>
        <v>-430</v>
      </c>
      <c r="E8" s="53">
        <v>0</v>
      </c>
      <c r="F8" s="53">
        <v>0</v>
      </c>
      <c r="G8" s="53">
        <v>0</v>
      </c>
      <c r="H8" s="53">
        <v>0</v>
      </c>
      <c r="I8" s="53">
        <v>0</v>
      </c>
      <c r="J8" s="82">
        <v>0</v>
      </c>
      <c r="K8" s="82">
        <v>0</v>
      </c>
      <c r="L8" s="82">
        <v>0</v>
      </c>
      <c r="M8" s="82">
        <v>0</v>
      </c>
      <c r="N8" s="82">
        <v>0</v>
      </c>
      <c r="O8" s="87">
        <v>0</v>
      </c>
      <c r="P8" s="87">
        <v>0</v>
      </c>
      <c r="Q8" s="87">
        <v>0</v>
      </c>
      <c r="R8" s="87">
        <v>0</v>
      </c>
      <c r="S8" s="87">
        <v>0</v>
      </c>
    </row>
    <row r="9" spans="1:19" x14ac:dyDescent="0.35">
      <c r="A9" s="59"/>
      <c r="B9" s="59"/>
      <c r="C9" s="59"/>
      <c r="D9" s="59"/>
      <c r="E9" s="59"/>
      <c r="F9" s="59"/>
      <c r="G9" s="59"/>
      <c r="H9" s="59"/>
      <c r="I9" s="59"/>
      <c r="J9" s="59"/>
      <c r="K9" s="59"/>
      <c r="L9" s="59"/>
      <c r="M9" s="59"/>
      <c r="N9" s="59"/>
      <c r="O9" s="59"/>
      <c r="P9" s="59"/>
      <c r="Q9" s="59"/>
      <c r="R9" s="59"/>
      <c r="S9" s="59"/>
    </row>
    <row r="10" spans="1:19" x14ac:dyDescent="0.35">
      <c r="A10" s="84" t="s">
        <v>369</v>
      </c>
      <c r="B10" s="52">
        <f>'Cash Flow Statement'!E14</f>
        <v>-71</v>
      </c>
      <c r="C10" s="52">
        <f>'Cash Flow Statement'!F14</f>
        <v>-42</v>
      </c>
      <c r="D10" s="52">
        <f>'Cash Flow Statement'!G14</f>
        <v>386</v>
      </c>
      <c r="E10" s="53">
        <f>-(Forecast_BS!E6-Forecast_BS!D6)</f>
        <v>-61.230429660766958</v>
      </c>
      <c r="F10" s="53">
        <f>-(Forecast_BS!F6-Forecast_BS!E6)</f>
        <v>7.3381649295872649</v>
      </c>
      <c r="G10" s="53">
        <f>-(Forecast_BS!G6-Forecast_BS!F6)</f>
        <v>34.392550903831761</v>
      </c>
      <c r="H10" s="53">
        <f>-(Forecast_BS!H6-Forecast_BS!G6)</f>
        <v>-31.040585778440345</v>
      </c>
      <c r="I10" s="53">
        <f>-(Forecast_BS!I6-Forecast_BS!H6)</f>
        <v>-26.500928654914105</v>
      </c>
      <c r="J10" s="82">
        <f>-(Forecast_BS!J6-Forecast_BS!D6)</f>
        <v>-263.0185166534136</v>
      </c>
      <c r="K10" s="82">
        <f>-(Forecast_BS!K6-Forecast_BS!J6)</f>
        <v>105.40870468111416</v>
      </c>
      <c r="L10" s="82">
        <f>-(Forecast_BS!L6-Forecast_BS!K6)</f>
        <v>-1.4151597092122756</v>
      </c>
      <c r="M10" s="82">
        <f>-(Forecast_BS!M6-Forecast_BS!L6)</f>
        <v>-38.367849589157231</v>
      </c>
      <c r="N10" s="82">
        <f>-(Forecast_BS!N6-Forecast_BS!M6)</f>
        <v>-32.611087581686888</v>
      </c>
      <c r="O10" s="87">
        <f>-(Forecast_BS!O6-Forecast_BS!D6)</f>
        <v>-418.98645201972568</v>
      </c>
      <c r="P10" s="87">
        <f>-(Forecast_BS!P6-Forecast_BS!O6)</f>
        <v>116.19394104195817</v>
      </c>
      <c r="Q10" s="87">
        <f>-(Forecast_BS!Q6-Forecast_BS!P6)</f>
        <v>-54.810475857942038</v>
      </c>
      <c r="R10" s="87">
        <f>-(Forecast_BS!R6-Forecast_BS!Q6)</f>
        <v>14.277265518763215</v>
      </c>
      <c r="S10" s="87">
        <f>-(Forecast_BS!S6-Forecast_BS!R6)</f>
        <v>-38.083659887721069</v>
      </c>
    </row>
    <row r="11" spans="1:19" x14ac:dyDescent="0.35">
      <c r="A11" s="85" t="s">
        <v>370</v>
      </c>
      <c r="B11" s="52">
        <f>'Cash Flow Statement'!E15</f>
        <v>57</v>
      </c>
      <c r="C11" s="52">
        <f>'Cash Flow Statement'!F15</f>
        <v>-376</v>
      </c>
      <c r="D11" s="52">
        <f>'Cash Flow Statement'!G15</f>
        <v>-343</v>
      </c>
      <c r="E11" s="53">
        <f>Forecast_BS!E21-Forecast_BS!D21</f>
        <v>-22.467677096851276</v>
      </c>
      <c r="F11" s="53">
        <f>Forecast_BS!F21-Forecast_BS!E21</f>
        <v>17.412205228685025</v>
      </c>
      <c r="G11" s="53">
        <f>Forecast_BS!G21-Forecast_BS!F21</f>
        <v>4.7270452979221318</v>
      </c>
      <c r="H11" s="53">
        <f>Forecast_BS!H21-Forecast_BS!G21</f>
        <v>18.681625226120559</v>
      </c>
      <c r="I11" s="53">
        <f>Forecast_BS!I21-Forecast_BS!H21</f>
        <v>18.078925365487066</v>
      </c>
      <c r="J11" s="82">
        <f>Forecast_BS!J21-Forecast_BS!D21</f>
        <v>33.461291781399723</v>
      </c>
      <c r="K11" s="82">
        <f>Forecast_BS!K21-Forecast_BS!J21</f>
        <v>-5.8785875224732536</v>
      </c>
      <c r="L11" s="82">
        <f>Forecast_BS!L21-Forecast_BS!K21</f>
        <v>17.419835303635182</v>
      </c>
      <c r="M11" s="82">
        <f>Forecast_BS!M21-Forecast_BS!L21</f>
        <v>25.093238094828621</v>
      </c>
      <c r="N11" s="82">
        <f>Forecast_BS!N21-Forecast_BS!M21</f>
        <v>23.140804153481668</v>
      </c>
      <c r="O11" s="87">
        <f>Forecast_BS!O21-Forecast_BS!D21</f>
        <v>66.748369729232763</v>
      </c>
      <c r="P11" s="87">
        <f>Forecast_BS!P21-Forecast_BS!O21</f>
        <v>-6.606930679987272</v>
      </c>
      <c r="Q11" s="87">
        <f>Forecast_BS!Q21-Forecast_BS!P21</f>
        <v>35.295478764656082</v>
      </c>
      <c r="R11" s="87">
        <f>Forecast_BS!R21-Forecast_BS!Q21</f>
        <v>13.604894494483688</v>
      </c>
      <c r="S11" s="87">
        <f>Forecast_BS!S21-Forecast_BS!R21</f>
        <v>26.279393529520576</v>
      </c>
    </row>
    <row r="12" spans="1:19" x14ac:dyDescent="0.35">
      <c r="A12" s="84" t="s">
        <v>371</v>
      </c>
      <c r="B12" s="52">
        <f>'Cash Flow Statement'!E17</f>
        <v>123</v>
      </c>
      <c r="C12" s="52">
        <f>'Cash Flow Statement'!F17</f>
        <v>168</v>
      </c>
      <c r="D12" s="52">
        <f>'Cash Flow Statement'!G17</f>
        <v>15</v>
      </c>
      <c r="E12" s="53">
        <f>Forecast_BS!E24-Forecast_BS!D24</f>
        <v>47.065521730931323</v>
      </c>
      <c r="F12" s="53">
        <f>Forecast_BS!F24-Forecast_BS!E24</f>
        <v>-8.9106288430702989</v>
      </c>
      <c r="G12" s="53">
        <f>Forecast_BS!G24-Forecast_BS!F24</f>
        <v>-41.762383240367171</v>
      </c>
      <c r="H12" s="53">
        <f>Forecast_BS!H24-Forecast_BS!G24</f>
        <v>37.692139873820452</v>
      </c>
      <c r="I12" s="53">
        <f>Forecast_BS!I24-Forecast_BS!H24</f>
        <v>32.179699080967112</v>
      </c>
      <c r="J12" s="82">
        <f>Forecast_BS!J24-Forecast_BS!D24</f>
        <v>292.09391307914507</v>
      </c>
      <c r="K12" s="82">
        <f>Forecast_BS!K24-Forecast_BS!J24</f>
        <v>-127.99628425563856</v>
      </c>
      <c r="L12" s="82">
        <f>Forecast_BS!L24-Forecast_BS!K24</f>
        <v>1.7184082183291594</v>
      </c>
      <c r="M12" s="82">
        <f>Forecast_BS!M24-Forecast_BS!L24</f>
        <v>46.58953164397667</v>
      </c>
      <c r="N12" s="82">
        <f>Forecast_BS!N24-Forecast_BS!M24</f>
        <v>39.599177777762634</v>
      </c>
      <c r="O12" s="87">
        <f>Forecast_BS!O24-Forecast_BS!D24</f>
        <v>481.48354888109543</v>
      </c>
      <c r="P12" s="87">
        <f>Forecast_BS!P24-Forecast_BS!O24</f>
        <v>-141.09264269380651</v>
      </c>
      <c r="Q12" s="87">
        <f>Forecast_BS!Q24-Forecast_BS!P24</f>
        <v>66.555577827501338</v>
      </c>
      <c r="R12" s="87">
        <f>Forecast_BS!R24-Forecast_BS!Q24</f>
        <v>-17.33667955849819</v>
      </c>
      <c r="S12" s="87">
        <f>Forecast_BS!S24-Forecast_BS!R24</f>
        <v>46.24444414937534</v>
      </c>
    </row>
    <row r="13" spans="1:19" x14ac:dyDescent="0.35">
      <c r="A13" s="59"/>
      <c r="B13" s="59"/>
      <c r="C13" s="59"/>
      <c r="D13" s="59"/>
      <c r="E13" s="59"/>
      <c r="F13" s="59"/>
      <c r="G13" s="59"/>
      <c r="H13" s="59"/>
      <c r="I13" s="59"/>
      <c r="J13" s="59"/>
      <c r="K13" s="59"/>
      <c r="L13" s="59"/>
      <c r="M13" s="59"/>
      <c r="N13" s="59"/>
      <c r="O13" s="59"/>
      <c r="P13" s="59"/>
      <c r="Q13" s="59"/>
      <c r="R13" s="59"/>
      <c r="S13" s="59"/>
    </row>
    <row r="14" spans="1:19" x14ac:dyDescent="0.35">
      <c r="A14" s="56" t="s">
        <v>214</v>
      </c>
      <c r="B14" s="52">
        <f>'Cash Flow Statement'!E19</f>
        <v>5920</v>
      </c>
      <c r="C14" s="52">
        <f>'Cash Flow Statement'!F19</f>
        <v>6413</v>
      </c>
      <c r="D14" s="52">
        <f>'Cash Flow Statement'!G19</f>
        <v>8758</v>
      </c>
      <c r="E14" s="53">
        <f t="shared" ref="E14:S14" si="0">E5+E6+E7+E8+E10+E11+E12</f>
        <v>10379.072960242353</v>
      </c>
      <c r="F14" s="53">
        <f t="shared" si="0"/>
        <v>10373.185211118451</v>
      </c>
      <c r="G14" s="53">
        <f t="shared" si="0"/>
        <v>10035.761880086087</v>
      </c>
      <c r="H14" s="53">
        <f t="shared" si="0"/>
        <v>10397.892901372401</v>
      </c>
      <c r="I14" s="53">
        <f t="shared" si="0"/>
        <v>10684.595126288716</v>
      </c>
      <c r="J14" s="82">
        <f t="shared" si="0"/>
        <v>12460.738531657649</v>
      </c>
      <c r="K14" s="82">
        <f t="shared" si="0"/>
        <v>11339.824808176096</v>
      </c>
      <c r="L14" s="82">
        <f t="shared" si="0"/>
        <v>11413.117978192528</v>
      </c>
      <c r="M14" s="82">
        <f t="shared" si="0"/>
        <v>11825.499809299707</v>
      </c>
      <c r="N14" s="82">
        <f t="shared" si="0"/>
        <v>12163.955102138971</v>
      </c>
      <c r="O14" s="87">
        <f t="shared" si="0"/>
        <v>14083.893331880072</v>
      </c>
      <c r="P14" s="87">
        <f t="shared" si="0"/>
        <v>12782.527280542585</v>
      </c>
      <c r="Q14" s="87">
        <f t="shared" si="0"/>
        <v>13405.970208482235</v>
      </c>
      <c r="R14" s="87">
        <f t="shared" si="0"/>
        <v>13242.786908642163</v>
      </c>
      <c r="S14" s="87">
        <f t="shared" si="0"/>
        <v>13659.182040210117</v>
      </c>
    </row>
    <row r="15" spans="1:19" x14ac:dyDescent="0.35">
      <c r="A15" s="59"/>
      <c r="B15" s="59"/>
      <c r="C15" s="59"/>
      <c r="D15" s="59"/>
      <c r="E15" s="59"/>
      <c r="F15" s="59"/>
      <c r="G15" s="59"/>
      <c r="H15" s="59"/>
      <c r="I15" s="59"/>
      <c r="J15" s="59"/>
      <c r="K15" s="59"/>
      <c r="L15" s="59"/>
      <c r="M15" s="59"/>
      <c r="N15" s="59"/>
      <c r="O15" s="59"/>
      <c r="P15" s="59"/>
      <c r="Q15" s="59"/>
      <c r="R15" s="59"/>
      <c r="S15" s="59"/>
    </row>
    <row r="16" spans="1:19" s="67" customFormat="1" ht="18" customHeight="1" x14ac:dyDescent="0.35">
      <c r="A16" s="88" t="s">
        <v>368</v>
      </c>
      <c r="B16" s="69"/>
      <c r="C16" s="69"/>
      <c r="D16" s="69"/>
      <c r="E16" s="69"/>
      <c r="F16" s="69"/>
      <c r="G16" s="69"/>
      <c r="H16" s="69"/>
      <c r="I16" s="69"/>
      <c r="J16" s="69"/>
      <c r="K16" s="69"/>
      <c r="L16" s="69"/>
      <c r="M16" s="69"/>
      <c r="N16" s="69"/>
      <c r="O16" s="69"/>
      <c r="P16" s="69"/>
      <c r="Q16" s="69"/>
      <c r="R16" s="69"/>
      <c r="S16" s="70"/>
    </row>
    <row r="17" spans="1:19" x14ac:dyDescent="0.35">
      <c r="A17" s="86" t="s">
        <v>377</v>
      </c>
      <c r="B17" s="52">
        <f>'Cash Flow Statement'!E22</f>
        <v>-2701</v>
      </c>
      <c r="C17" s="52">
        <f>'Cash Flow Statement'!F22</f>
        <v>-2867</v>
      </c>
      <c r="D17" s="52">
        <f>'Cash Flow Statement'!G22</f>
        <v>-3523</v>
      </c>
      <c r="E17" s="53">
        <f>-Summary!G21</f>
        <v>-3900</v>
      </c>
      <c r="F17" s="53">
        <f>-Summary!H21</f>
        <v>-4017</v>
      </c>
      <c r="G17" s="53">
        <f>-Summary!I21</f>
        <v>-4097.34</v>
      </c>
      <c r="H17" s="53">
        <f>-Summary!J21</f>
        <v>-4179.2867999999999</v>
      </c>
      <c r="I17" s="53">
        <f>-Summary!K21</f>
        <v>-4262.8725359999999</v>
      </c>
      <c r="J17" s="82">
        <f>-Summary!L21</f>
        <v>-3900</v>
      </c>
      <c r="K17" s="82">
        <f>-Summary!M21</f>
        <v>-4017</v>
      </c>
      <c r="L17" s="82">
        <f>-Summary!N21</f>
        <v>-4097.34</v>
      </c>
      <c r="M17" s="82">
        <f>-Summary!O21</f>
        <v>-4179.2867999999999</v>
      </c>
      <c r="N17" s="82">
        <f>-Summary!P21</f>
        <v>-4262.8725359999999</v>
      </c>
      <c r="O17" s="87">
        <f>-Summary!Q21</f>
        <v>-3900</v>
      </c>
      <c r="P17" s="87">
        <f>-Summary!R21</f>
        <v>-4017</v>
      </c>
      <c r="Q17" s="87">
        <f>-Summary!S21</f>
        <v>-4097.34</v>
      </c>
      <c r="R17" s="87">
        <f>-Summary!T21</f>
        <v>-4179.2867999999999</v>
      </c>
      <c r="S17" s="87">
        <f>-Summary!U21</f>
        <v>-4262.8725359999999</v>
      </c>
    </row>
    <row r="18" spans="1:19" x14ac:dyDescent="0.35">
      <c r="A18" s="89" t="s">
        <v>378</v>
      </c>
      <c r="B18" s="52">
        <f>'Cash Flow Statement'!E23</f>
        <v>-2013</v>
      </c>
      <c r="C18" s="52">
        <f>'Cash Flow Statement'!F23</f>
        <v>-8920</v>
      </c>
      <c r="D18" s="52">
        <f>'Cash Flow Statement'!G23</f>
        <v>-5938</v>
      </c>
      <c r="E18" s="53">
        <f>0</f>
        <v>0</v>
      </c>
      <c r="F18" s="53">
        <f>0</f>
        <v>0</v>
      </c>
      <c r="G18" s="53">
        <f>0</f>
        <v>0</v>
      </c>
      <c r="H18" s="53">
        <f>0</f>
        <v>0</v>
      </c>
      <c r="I18" s="53">
        <f>0</f>
        <v>0</v>
      </c>
      <c r="J18" s="82">
        <f>0</f>
        <v>0</v>
      </c>
      <c r="K18" s="82">
        <f>0</f>
        <v>0</v>
      </c>
      <c r="L18" s="82">
        <f>0</f>
        <v>0</v>
      </c>
      <c r="M18" s="82">
        <f>0</f>
        <v>0</v>
      </c>
      <c r="N18" s="82">
        <f>0</f>
        <v>0</v>
      </c>
      <c r="O18" s="87">
        <f>0</f>
        <v>0</v>
      </c>
      <c r="P18" s="87">
        <f>0</f>
        <v>0</v>
      </c>
      <c r="Q18" s="87">
        <f>0</f>
        <v>0</v>
      </c>
      <c r="R18" s="87">
        <f>0</f>
        <v>0</v>
      </c>
      <c r="S18" s="87">
        <f>0</f>
        <v>0</v>
      </c>
    </row>
    <row r="19" spans="1:19" x14ac:dyDescent="0.35">
      <c r="A19" s="86" t="s">
        <v>379</v>
      </c>
      <c r="B19" s="52">
        <f>'Cash Flow Statement'!E24</f>
        <v>1407</v>
      </c>
      <c r="C19" s="52">
        <f>'Cash Flow Statement'!F24</f>
        <v>467</v>
      </c>
      <c r="D19" s="52">
        <f>'Cash Flow Statement'!G24</f>
        <v>1670</v>
      </c>
      <c r="E19" s="53">
        <f>0</f>
        <v>0</v>
      </c>
      <c r="F19" s="53">
        <f>0</f>
        <v>0</v>
      </c>
      <c r="G19" s="53">
        <f>0</f>
        <v>0</v>
      </c>
      <c r="H19" s="53">
        <f>0</f>
        <v>0</v>
      </c>
      <c r="I19" s="53">
        <f>0</f>
        <v>0</v>
      </c>
      <c r="J19" s="82">
        <f>0</f>
        <v>0</v>
      </c>
      <c r="K19" s="82">
        <f>0</f>
        <v>0</v>
      </c>
      <c r="L19" s="82">
        <f>0</f>
        <v>0</v>
      </c>
      <c r="M19" s="82">
        <f>0</f>
        <v>0</v>
      </c>
      <c r="N19" s="82">
        <f>0</f>
        <v>0</v>
      </c>
      <c r="O19" s="87">
        <f>0</f>
        <v>0</v>
      </c>
      <c r="P19" s="87">
        <f>0</f>
        <v>0</v>
      </c>
      <c r="Q19" s="87">
        <f>0</f>
        <v>0</v>
      </c>
      <c r="R19" s="87">
        <f>0</f>
        <v>0</v>
      </c>
      <c r="S19" s="87">
        <f>0</f>
        <v>0</v>
      </c>
    </row>
    <row r="20" spans="1:19" x14ac:dyDescent="0.35">
      <c r="A20" s="59"/>
      <c r="B20" s="59"/>
      <c r="C20" s="59"/>
      <c r="D20" s="59"/>
      <c r="E20" s="59"/>
      <c r="F20" s="59"/>
      <c r="G20" s="59"/>
      <c r="H20" s="59"/>
      <c r="I20" s="59"/>
      <c r="J20" s="59"/>
      <c r="K20" s="59"/>
      <c r="L20" s="59"/>
      <c r="M20" s="59"/>
      <c r="N20" s="59"/>
      <c r="O20" s="59"/>
      <c r="P20" s="59"/>
      <c r="Q20" s="59"/>
      <c r="R20" s="59"/>
      <c r="S20" s="59"/>
    </row>
    <row r="21" spans="1:19" x14ac:dyDescent="0.35">
      <c r="A21" s="56" t="s">
        <v>215</v>
      </c>
      <c r="B21" s="52">
        <f>'Cash Flow Statement'!E26</f>
        <v>-3323</v>
      </c>
      <c r="C21" s="52">
        <f>'Cash Flow Statement'!F26</f>
        <v>-11221</v>
      </c>
      <c r="D21" s="52">
        <f>'Cash Flow Statement'!G26</f>
        <v>-7809</v>
      </c>
      <c r="E21" s="53">
        <f t="shared" ref="E21:S21" si="1">E17+E18+E19</f>
        <v>-3900</v>
      </c>
      <c r="F21" s="53">
        <f t="shared" si="1"/>
        <v>-4017</v>
      </c>
      <c r="G21" s="53">
        <f t="shared" si="1"/>
        <v>-4097.34</v>
      </c>
      <c r="H21" s="53">
        <f t="shared" si="1"/>
        <v>-4179.2867999999999</v>
      </c>
      <c r="I21" s="53">
        <f t="shared" si="1"/>
        <v>-4262.8725359999999</v>
      </c>
      <c r="J21" s="82">
        <f t="shared" si="1"/>
        <v>-3900</v>
      </c>
      <c r="K21" s="82">
        <f t="shared" si="1"/>
        <v>-4017</v>
      </c>
      <c r="L21" s="82">
        <f t="shared" si="1"/>
        <v>-4097.34</v>
      </c>
      <c r="M21" s="82">
        <f t="shared" si="1"/>
        <v>-4179.2867999999999</v>
      </c>
      <c r="N21" s="82">
        <f t="shared" si="1"/>
        <v>-4262.8725359999999</v>
      </c>
      <c r="O21" s="87">
        <f t="shared" si="1"/>
        <v>-3900</v>
      </c>
      <c r="P21" s="87">
        <f t="shared" si="1"/>
        <v>-4017</v>
      </c>
      <c r="Q21" s="87">
        <f t="shared" si="1"/>
        <v>-4097.34</v>
      </c>
      <c r="R21" s="87">
        <f t="shared" si="1"/>
        <v>-4179.2867999999999</v>
      </c>
      <c r="S21" s="87">
        <f t="shared" si="1"/>
        <v>-4262.8725359999999</v>
      </c>
    </row>
    <row r="22" spans="1:19" x14ac:dyDescent="0.35">
      <c r="A22" s="59"/>
      <c r="B22" s="59"/>
      <c r="C22" s="59"/>
      <c r="D22" s="59"/>
      <c r="E22" s="59"/>
      <c r="F22" s="59"/>
      <c r="G22" s="59"/>
      <c r="H22" s="59"/>
      <c r="I22" s="59"/>
      <c r="J22" s="59"/>
      <c r="K22" s="59"/>
      <c r="L22" s="59"/>
      <c r="M22" s="59"/>
      <c r="N22" s="59"/>
      <c r="O22" s="59"/>
      <c r="P22" s="59"/>
      <c r="Q22" s="59"/>
      <c r="R22" s="59"/>
      <c r="S22" s="59"/>
    </row>
    <row r="23" spans="1:19" s="67" customFormat="1" ht="18" customHeight="1" x14ac:dyDescent="0.35">
      <c r="A23" s="88" t="s">
        <v>381</v>
      </c>
      <c r="B23" s="69"/>
      <c r="C23" s="69"/>
      <c r="D23" s="69"/>
      <c r="E23" s="69"/>
      <c r="F23" s="69"/>
      <c r="G23" s="69"/>
      <c r="H23" s="69"/>
      <c r="I23" s="69"/>
      <c r="J23" s="69"/>
      <c r="K23" s="69"/>
      <c r="L23" s="69"/>
      <c r="M23" s="69"/>
      <c r="N23" s="69"/>
      <c r="O23" s="69"/>
      <c r="P23" s="69"/>
      <c r="Q23" s="69"/>
      <c r="R23" s="69"/>
      <c r="S23" s="70"/>
    </row>
    <row r="24" spans="1:19" x14ac:dyDescent="0.35">
      <c r="A24" s="89" t="s">
        <v>373</v>
      </c>
      <c r="B24" s="52">
        <f>'Cash Flow Statement'!E29</f>
        <v>5179</v>
      </c>
      <c r="C24" s="52">
        <f>'Cash Flow Statement'!F29</f>
        <v>9875</v>
      </c>
      <c r="D24" s="52">
        <f>'Cash Flow Statement'!G29</f>
        <v>15042</v>
      </c>
      <c r="E24" s="53">
        <f>0</f>
        <v>0</v>
      </c>
      <c r="F24" s="53">
        <f>0</f>
        <v>0</v>
      </c>
      <c r="G24" s="53">
        <f>0</f>
        <v>0</v>
      </c>
      <c r="H24" s="53">
        <f>0</f>
        <v>0</v>
      </c>
      <c r="I24" s="53">
        <f>0</f>
        <v>0</v>
      </c>
      <c r="J24" s="82">
        <f>0</f>
        <v>0</v>
      </c>
      <c r="K24" s="82">
        <f>0</f>
        <v>0</v>
      </c>
      <c r="L24" s="82">
        <f>0</f>
        <v>0</v>
      </c>
      <c r="M24" s="82">
        <f>0</f>
        <v>0</v>
      </c>
      <c r="N24" s="82">
        <f>0</f>
        <v>0</v>
      </c>
      <c r="O24" s="87">
        <f>0</f>
        <v>0</v>
      </c>
      <c r="P24" s="87">
        <f>0</f>
        <v>0</v>
      </c>
      <c r="Q24" s="87">
        <f>0</f>
        <v>0</v>
      </c>
      <c r="R24" s="87">
        <f>0</f>
        <v>0</v>
      </c>
      <c r="S24" s="87">
        <f>0</f>
        <v>0</v>
      </c>
    </row>
    <row r="25" spans="1:19" x14ac:dyDescent="0.35">
      <c r="A25" s="51" t="s">
        <v>383</v>
      </c>
      <c r="B25" s="52">
        <f>'Cash Flow Statement'!E30</f>
        <v>-4802</v>
      </c>
      <c r="C25" s="52">
        <f>'Cash Flow Statement'!F30</f>
        <v>-3502</v>
      </c>
      <c r="D25" s="52">
        <f>'Cash Flow Statement'!G30</f>
        <v>-13467</v>
      </c>
      <c r="E25" s="53">
        <v>-1500</v>
      </c>
      <c r="F25" s="53">
        <v>-1500</v>
      </c>
      <c r="G25" s="53">
        <v>-1500</v>
      </c>
      <c r="H25" s="53">
        <v>-1500</v>
      </c>
      <c r="I25" s="53">
        <v>-1500</v>
      </c>
      <c r="J25" s="82">
        <v>-1500</v>
      </c>
      <c r="K25" s="82">
        <v>-1500</v>
      </c>
      <c r="L25" s="82">
        <v>-1500</v>
      </c>
      <c r="M25" s="82">
        <v>-1500</v>
      </c>
      <c r="N25" s="82">
        <v>-1500</v>
      </c>
      <c r="O25" s="87">
        <v>-1500</v>
      </c>
      <c r="P25" s="87">
        <v>-1500</v>
      </c>
      <c r="Q25" s="87">
        <v>-1500</v>
      </c>
      <c r="R25" s="87">
        <v>-1500</v>
      </c>
      <c r="S25" s="87">
        <v>-1500</v>
      </c>
    </row>
    <row r="26" spans="1:19" x14ac:dyDescent="0.35">
      <c r="A26" s="89" t="s">
        <v>374</v>
      </c>
      <c r="B26" s="52">
        <f>'Cash Flow Statement'!E31</f>
        <v>-840</v>
      </c>
      <c r="C26" s="52">
        <f>'Cash Flow Statement'!F31</f>
        <v>-959</v>
      </c>
      <c r="D26" s="52">
        <f>'Cash Flow Statement'!G31</f>
        <v>-1705</v>
      </c>
      <c r="E26" s="53">
        <v>-2100</v>
      </c>
      <c r="F26" s="53">
        <f t="shared" ref="F26:P26" si="2">-1500</f>
        <v>-1500</v>
      </c>
      <c r="G26" s="53">
        <f>-1200</f>
        <v>-1200</v>
      </c>
      <c r="H26" s="53">
        <f>-1000</f>
        <v>-1000</v>
      </c>
      <c r="I26" s="53">
        <f>-1000</f>
        <v>-1000</v>
      </c>
      <c r="J26" s="82">
        <v>-2100</v>
      </c>
      <c r="K26" s="82">
        <f t="shared" si="2"/>
        <v>-1500</v>
      </c>
      <c r="L26" s="82">
        <f>-1200</f>
        <v>-1200</v>
      </c>
      <c r="M26" s="82">
        <f>-1000</f>
        <v>-1000</v>
      </c>
      <c r="N26" s="82">
        <f>-1000</f>
        <v>-1000</v>
      </c>
      <c r="O26" s="87">
        <v>-2100</v>
      </c>
      <c r="P26" s="87">
        <f t="shared" si="2"/>
        <v>-1500</v>
      </c>
      <c r="Q26" s="87">
        <f>-1200</f>
        <v>-1200</v>
      </c>
      <c r="R26" s="87">
        <f>-1000</f>
        <v>-1000</v>
      </c>
      <c r="S26" s="87">
        <f>-1000</f>
        <v>-1000</v>
      </c>
    </row>
    <row r="27" spans="1:19" x14ac:dyDescent="0.35">
      <c r="A27" s="86" t="s">
        <v>375</v>
      </c>
      <c r="B27" s="52">
        <f>'Cash Flow Statement'!E35</f>
        <v>-1444</v>
      </c>
      <c r="C27" s="52">
        <f>'Cash Flow Statement'!F35</f>
        <v>-1578</v>
      </c>
      <c r="D27" s="52">
        <f>'Cash Flow Statement'!G35</f>
        <v>-1156</v>
      </c>
      <c r="E27" s="53">
        <f>-E28*Forecast_IS!E44</f>
        <v>-2216.3487907560661</v>
      </c>
      <c r="F27" s="53">
        <f>-F28*Forecast_IS!F44</f>
        <v>-2115.0926068327258</v>
      </c>
      <c r="G27" s="53">
        <f>-G28*Forecast_IS!G44</f>
        <v>-1917.1022491666799</v>
      </c>
      <c r="H27" s="53">
        <f>-H28*Forecast_IS!H44</f>
        <v>-2010.0117413321241</v>
      </c>
      <c r="I27" s="53">
        <f>-I28*Forecast_IS!I44</f>
        <v>-2091.5136205998979</v>
      </c>
      <c r="J27" s="82">
        <f>-E28*Forecast_IS!J44</f>
        <v>-3052.0619420994572</v>
      </c>
      <c r="K27" s="82">
        <f>-F28*Forecast_IS!K44</f>
        <v>-2516.2094812224373</v>
      </c>
      <c r="L27" s="82">
        <f>-G28*Forecast_IS!L44</f>
        <v>-2451.4675118692635</v>
      </c>
      <c r="M27" s="82">
        <f>-H28*Forecast_IS!M44</f>
        <v>-2555.2622474616851</v>
      </c>
      <c r="N27" s="82">
        <f>-I28*Forecast_IS!N44</f>
        <v>-2643.1248419350813</v>
      </c>
      <c r="O27" s="87">
        <f>-O28*Forecast_IS!O44</f>
        <v>-3709.8986299709472</v>
      </c>
      <c r="P27" s="87">
        <f>-P28*Forecast_IS!P44</f>
        <v>-3114.6159224284188</v>
      </c>
      <c r="Q27" s="87">
        <f>-Q28*Forecast_IS!Q44</f>
        <v>-3259.640002184879</v>
      </c>
      <c r="R27" s="87">
        <f>-R28*Forecast_IS!R44</f>
        <v>-3125.1797680252926</v>
      </c>
      <c r="S27" s="87">
        <f>-S28*Forecast_IS!S44</f>
        <v>-3223.9403235927548</v>
      </c>
    </row>
    <row r="28" spans="1:19" s="67" customFormat="1" x14ac:dyDescent="0.35">
      <c r="A28" s="95" t="s">
        <v>372</v>
      </c>
      <c r="B28" s="96">
        <f>-B27/Forecast_IS!B44</f>
        <v>0.43285371702637887</v>
      </c>
      <c r="C28" s="96">
        <f>-C27/Forecast_IS!C44</f>
        <v>0.42637125101323964</v>
      </c>
      <c r="D28" s="96">
        <f>-D27/Forecast_IS!D44</f>
        <v>0.74725274725274726</v>
      </c>
      <c r="E28" s="96">
        <f>AVERAGE(B28:C28)</f>
        <v>0.42961248401980923</v>
      </c>
      <c r="F28" s="96">
        <f t="shared" ref="F28:S28" si="3">$E$28</f>
        <v>0.42961248401980923</v>
      </c>
      <c r="G28" s="96">
        <f t="shared" si="3"/>
        <v>0.42961248401980923</v>
      </c>
      <c r="H28" s="96">
        <f t="shared" si="3"/>
        <v>0.42961248401980923</v>
      </c>
      <c r="I28" s="96">
        <f t="shared" si="3"/>
        <v>0.42961248401980923</v>
      </c>
      <c r="J28" s="96">
        <f t="shared" si="3"/>
        <v>0.42961248401980923</v>
      </c>
      <c r="K28" s="96">
        <f t="shared" si="3"/>
        <v>0.42961248401980923</v>
      </c>
      <c r="L28" s="96">
        <f t="shared" si="3"/>
        <v>0.42961248401980923</v>
      </c>
      <c r="M28" s="96">
        <f t="shared" si="3"/>
        <v>0.42961248401980923</v>
      </c>
      <c r="N28" s="96">
        <f t="shared" si="3"/>
        <v>0.42961248401980923</v>
      </c>
      <c r="O28" s="96">
        <f t="shared" si="3"/>
        <v>0.42961248401980923</v>
      </c>
      <c r="P28" s="96">
        <f t="shared" si="3"/>
        <v>0.42961248401980923</v>
      </c>
      <c r="Q28" s="96">
        <f t="shared" si="3"/>
        <v>0.42961248401980923</v>
      </c>
      <c r="R28" s="96">
        <f t="shared" si="3"/>
        <v>0.42961248401980923</v>
      </c>
      <c r="S28" s="96">
        <f t="shared" si="3"/>
        <v>0.42961248401980923</v>
      </c>
    </row>
    <row r="29" spans="1:19" x14ac:dyDescent="0.35">
      <c r="A29" s="89" t="s">
        <v>376</v>
      </c>
      <c r="B29" s="52">
        <f>'Cash Flow Statement'!E36</f>
        <v>-129</v>
      </c>
      <c r="C29" s="52">
        <f>'Cash Flow Statement'!F36</f>
        <v>-227</v>
      </c>
      <c r="D29" s="52">
        <f>'Cash Flow Statement'!G36</f>
        <v>-382</v>
      </c>
      <c r="E29" s="53">
        <f>-E30*Forecast_IS!E45</f>
        <v>-200.56134168808379</v>
      </c>
      <c r="F29" s="53">
        <f>-F30*Forecast_IS!F45</f>
        <v>-199.32377479852286</v>
      </c>
      <c r="G29" s="53">
        <f>-G30*Forecast_IS!G45</f>
        <v>-193.5235396369354</v>
      </c>
      <c r="H29" s="53">
        <f>-H30*Forecast_IS!H45</f>
        <v>-198.75847256098095</v>
      </c>
      <c r="I29" s="53">
        <f>-I30*Forecast_IS!I45</f>
        <v>-203.22780135920715</v>
      </c>
      <c r="J29" s="82">
        <f>-J30*Forecast_IS!J45</f>
        <v>-234.59250037232761</v>
      </c>
      <c r="K29" s="82">
        <f>-K30*Forecast_IS!K45</f>
        <v>-216.8155324196342</v>
      </c>
      <c r="L29" s="82">
        <f>-L30*Forecast_IS!L45</f>
        <v>-217.05419628401535</v>
      </c>
      <c r="M29" s="82">
        <f>-M30*Forecast_IS!M45</f>
        <v>-223.52485764565159</v>
      </c>
      <c r="N29" s="82">
        <f>-N30*Forecast_IS!N45</f>
        <v>-229.02465256862249</v>
      </c>
      <c r="O29" s="87">
        <f>-O30*Forecast_IS!O45</f>
        <v>-260.89618180966767</v>
      </c>
      <c r="P29" s="87">
        <f>-P30*Forecast_IS!P45</f>
        <v>-241.30030524094514</v>
      </c>
      <c r="Q29" s="87">
        <f>-Q30*Forecast_IS!Q45</f>
        <v>-250.54398275075036</v>
      </c>
      <c r="R29" s="87">
        <f>-R30*Forecast_IS!R45</f>
        <v>-248.13615037725731</v>
      </c>
      <c r="S29" s="87">
        <f>-S30*Forecast_IS!S45</f>
        <v>-254.5588837121694</v>
      </c>
    </row>
    <row r="30" spans="1:19" x14ac:dyDescent="0.35">
      <c r="A30" s="95" t="s">
        <v>372</v>
      </c>
      <c r="B30" s="105">
        <f>-B29/Forecast_IS!B45</f>
        <v>0.66839378238341973</v>
      </c>
      <c r="C30" s="105">
        <f>-C29/Forecast_IS!C45</f>
        <v>0.62534435261707988</v>
      </c>
      <c r="D30" s="105">
        <f>-D29/Forecast_IS!D45</f>
        <v>-3.2649572649572649</v>
      </c>
      <c r="E30" s="96">
        <f>AVERAGE(B30:C30)</f>
        <v>0.64686906750024975</v>
      </c>
      <c r="F30" s="105">
        <f>$E$30</f>
        <v>0.64686906750024975</v>
      </c>
      <c r="G30" s="105">
        <f>$E$30</f>
        <v>0.64686906750024975</v>
      </c>
      <c r="H30" s="105">
        <f>$E$30</f>
        <v>0.64686906750024975</v>
      </c>
      <c r="I30" s="105">
        <f>$E$30</f>
        <v>0.64686906750024975</v>
      </c>
      <c r="J30" s="105">
        <f t="shared" ref="J30:S30" si="4">$E$30</f>
        <v>0.64686906750024975</v>
      </c>
      <c r="K30" s="105">
        <f t="shared" si="4"/>
        <v>0.64686906750024975</v>
      </c>
      <c r="L30" s="105">
        <f t="shared" si="4"/>
        <v>0.64686906750024975</v>
      </c>
      <c r="M30" s="105">
        <f t="shared" si="4"/>
        <v>0.64686906750024975</v>
      </c>
      <c r="N30" s="105">
        <f t="shared" si="4"/>
        <v>0.64686906750024975</v>
      </c>
      <c r="O30" s="105">
        <f t="shared" si="4"/>
        <v>0.64686906750024975</v>
      </c>
      <c r="P30" s="105">
        <f t="shared" si="4"/>
        <v>0.64686906750024975</v>
      </c>
      <c r="Q30" s="105">
        <f t="shared" si="4"/>
        <v>0.64686906750024975</v>
      </c>
      <c r="R30" s="105">
        <f t="shared" si="4"/>
        <v>0.64686906750024975</v>
      </c>
      <c r="S30" s="105">
        <f t="shared" si="4"/>
        <v>0.64686906750024975</v>
      </c>
    </row>
    <row r="31" spans="1:19" x14ac:dyDescent="0.35">
      <c r="A31" s="56" t="s">
        <v>216</v>
      </c>
      <c r="B31" s="52">
        <f>'Cash Flow Statement'!E38</f>
        <v>-2176</v>
      </c>
      <c r="C31" s="52">
        <f>'Cash Flow Statement'!F38</f>
        <v>4387</v>
      </c>
      <c r="D31" s="52">
        <f>'Cash Flow Statement'!G38</f>
        <v>-1007</v>
      </c>
      <c r="E31" s="53">
        <f>E24+E25+E26+E27+E29</f>
        <v>-6016.9101324441508</v>
      </c>
      <c r="F31" s="53">
        <f>F24+F25+F26+F27+F29</f>
        <v>-5314.4163816312494</v>
      </c>
      <c r="G31" s="53">
        <f t="shared" ref="G31:S31" si="5">G24+G25+G26+G27+G29</f>
        <v>-4810.6257888036153</v>
      </c>
      <c r="H31" s="53">
        <f t="shared" si="5"/>
        <v>-4708.7702138931054</v>
      </c>
      <c r="I31" s="53">
        <f t="shared" si="5"/>
        <v>-4794.7414219591046</v>
      </c>
      <c r="J31" s="82">
        <f>J24+J25+J26+J27+J29</f>
        <v>-6886.6544424717849</v>
      </c>
      <c r="K31" s="82">
        <f t="shared" si="5"/>
        <v>-5733.0250136420709</v>
      </c>
      <c r="L31" s="82">
        <f t="shared" si="5"/>
        <v>-5368.5217081532783</v>
      </c>
      <c r="M31" s="82">
        <f t="shared" si="5"/>
        <v>-5278.7871051073371</v>
      </c>
      <c r="N31" s="82">
        <f t="shared" si="5"/>
        <v>-5372.1494945037039</v>
      </c>
      <c r="O31" s="87">
        <f t="shared" si="5"/>
        <v>-7570.7948117806145</v>
      </c>
      <c r="P31" s="87">
        <f t="shared" si="5"/>
        <v>-6355.9162276693633</v>
      </c>
      <c r="Q31" s="87">
        <f t="shared" si="5"/>
        <v>-6210.1839849356293</v>
      </c>
      <c r="R31" s="87">
        <f t="shared" si="5"/>
        <v>-5873.3159184025499</v>
      </c>
      <c r="S31" s="87">
        <f t="shared" si="5"/>
        <v>-5978.4992073049243</v>
      </c>
    </row>
    <row r="32" spans="1:19" x14ac:dyDescent="0.35">
      <c r="A32" s="59"/>
      <c r="B32" s="59"/>
      <c r="C32" s="59"/>
      <c r="D32" s="59"/>
      <c r="E32" s="59"/>
      <c r="F32" s="59"/>
      <c r="G32" s="59"/>
      <c r="H32" s="59"/>
      <c r="I32" s="59"/>
      <c r="J32" s="59"/>
      <c r="K32" s="59"/>
      <c r="L32" s="59"/>
      <c r="M32" s="59"/>
      <c r="N32" s="59"/>
      <c r="O32" s="59"/>
      <c r="P32" s="59"/>
      <c r="Q32" s="59"/>
      <c r="R32" s="59"/>
      <c r="S32" s="59"/>
    </row>
    <row r="33" spans="1:19" s="67" customFormat="1" ht="18" customHeight="1" x14ac:dyDescent="0.35">
      <c r="A33" s="88" t="s">
        <v>382</v>
      </c>
      <c r="B33" s="69"/>
      <c r="C33" s="69"/>
      <c r="D33" s="69"/>
      <c r="E33" s="69"/>
      <c r="F33" s="69"/>
      <c r="G33" s="69"/>
      <c r="H33" s="69"/>
      <c r="I33" s="69"/>
      <c r="J33" s="69"/>
      <c r="K33" s="69"/>
      <c r="L33" s="69"/>
      <c r="M33" s="69"/>
      <c r="N33" s="69"/>
      <c r="O33" s="69"/>
      <c r="P33" s="69"/>
      <c r="Q33" s="69"/>
      <c r="R33" s="69"/>
      <c r="S33" s="70"/>
    </row>
    <row r="34" spans="1:19" x14ac:dyDescent="0.35">
      <c r="A34" s="56" t="s">
        <v>380</v>
      </c>
      <c r="B34" s="52">
        <f t="shared" ref="B34:S34" si="6">B14+B21+B31</f>
        <v>421</v>
      </c>
      <c r="C34" s="52">
        <f t="shared" si="6"/>
        <v>-421</v>
      </c>
      <c r="D34" s="52">
        <f t="shared" si="6"/>
        <v>-58</v>
      </c>
      <c r="E34" s="53">
        <f t="shared" si="6"/>
        <v>462.16282779820176</v>
      </c>
      <c r="F34" s="53">
        <f t="shared" si="6"/>
        <v>1041.7688294872014</v>
      </c>
      <c r="G34" s="53">
        <f t="shared" si="6"/>
        <v>1127.7960912824719</v>
      </c>
      <c r="H34" s="53">
        <f t="shared" si="6"/>
        <v>1509.8358874792957</v>
      </c>
      <c r="I34" s="53">
        <f t="shared" si="6"/>
        <v>1626.9811683296111</v>
      </c>
      <c r="J34" s="82">
        <f>J14+J21+J31</f>
        <v>1674.0840891858643</v>
      </c>
      <c r="K34" s="82">
        <f t="shared" si="6"/>
        <v>1589.7997945340248</v>
      </c>
      <c r="L34" s="82">
        <f t="shared" si="6"/>
        <v>1947.2562700392491</v>
      </c>
      <c r="M34" s="82">
        <f t="shared" si="6"/>
        <v>2367.4259041923697</v>
      </c>
      <c r="N34" s="82">
        <f t="shared" si="6"/>
        <v>2528.933071635267</v>
      </c>
      <c r="O34" s="87">
        <f t="shared" si="6"/>
        <v>2613.0985200994573</v>
      </c>
      <c r="P34" s="87">
        <f t="shared" si="6"/>
        <v>2409.6110528732215</v>
      </c>
      <c r="Q34" s="87">
        <f t="shared" si="6"/>
        <v>3098.4462235466053</v>
      </c>
      <c r="R34" s="87">
        <f t="shared" si="6"/>
        <v>3190.1841902396136</v>
      </c>
      <c r="S34" s="87">
        <f t="shared" si="6"/>
        <v>3417.8102969051915</v>
      </c>
    </row>
    <row r="35" spans="1:19" x14ac:dyDescent="0.35">
      <c r="A35" s="51" t="s">
        <v>217</v>
      </c>
      <c r="B35" s="52">
        <f>'Cash Flow Statement'!E41</f>
        <v>164</v>
      </c>
      <c r="C35" s="52">
        <f>'Cash Flow Statement'!F41</f>
        <v>585</v>
      </c>
      <c r="D35" s="52">
        <f>'Cash Flow Statement'!G41</f>
        <v>164</v>
      </c>
      <c r="E35" s="53">
        <f>'Balance Sheet'!G5</f>
        <v>104</v>
      </c>
      <c r="F35" s="53">
        <f>E36</f>
        <v>566.16282779820176</v>
      </c>
      <c r="G35" s="53">
        <f>F36</f>
        <v>1607.9316572854032</v>
      </c>
      <c r="H35" s="53">
        <f>G36</f>
        <v>2735.7277485678751</v>
      </c>
      <c r="I35" s="53">
        <f>H36</f>
        <v>4245.5636360471708</v>
      </c>
      <c r="J35" s="82">
        <f>'Balance Sheet'!G5</f>
        <v>104</v>
      </c>
      <c r="K35" s="82">
        <f>J36</f>
        <v>1778.0840891858643</v>
      </c>
      <c r="L35" s="82">
        <f>K36</f>
        <v>3367.8838837198891</v>
      </c>
      <c r="M35" s="82">
        <f>L36</f>
        <v>5315.1401537591382</v>
      </c>
      <c r="N35" s="82">
        <f>M36</f>
        <v>7682.5660579515079</v>
      </c>
      <c r="O35" s="87">
        <f>'Balance Sheet'!G5</f>
        <v>104</v>
      </c>
      <c r="P35" s="87">
        <f>O36</f>
        <v>2717.0985200994573</v>
      </c>
      <c r="Q35" s="87">
        <f>P36</f>
        <v>5126.7095729726789</v>
      </c>
      <c r="R35" s="87">
        <f>Q36</f>
        <v>8225.1557965192842</v>
      </c>
      <c r="S35" s="87">
        <f>R36</f>
        <v>11415.339986758898</v>
      </c>
    </row>
    <row r="36" spans="1:19" x14ac:dyDescent="0.35">
      <c r="A36" s="56" t="s">
        <v>218</v>
      </c>
      <c r="B36" s="52">
        <f>'Cash Flow Statement'!E42</f>
        <v>585</v>
      </c>
      <c r="C36" s="52">
        <f>'Cash Flow Statement'!F42</f>
        <v>164</v>
      </c>
      <c r="D36" s="52">
        <f>'Cash Flow Statement'!G42</f>
        <v>106</v>
      </c>
      <c r="E36" s="53">
        <f t="shared" ref="E36:S36" si="7">E34+E35</f>
        <v>566.16282779820176</v>
      </c>
      <c r="F36" s="53">
        <f t="shared" si="7"/>
        <v>1607.9316572854032</v>
      </c>
      <c r="G36" s="53">
        <f t="shared" si="7"/>
        <v>2735.7277485678751</v>
      </c>
      <c r="H36" s="53">
        <f t="shared" si="7"/>
        <v>4245.5636360471708</v>
      </c>
      <c r="I36" s="53">
        <f t="shared" si="7"/>
        <v>5872.5448043767819</v>
      </c>
      <c r="J36" s="82">
        <f t="shared" si="7"/>
        <v>1778.0840891858643</v>
      </c>
      <c r="K36" s="82">
        <f t="shared" si="7"/>
        <v>3367.8838837198891</v>
      </c>
      <c r="L36" s="82">
        <f t="shared" si="7"/>
        <v>5315.1401537591382</v>
      </c>
      <c r="M36" s="82">
        <f t="shared" si="7"/>
        <v>7682.5660579515079</v>
      </c>
      <c r="N36" s="82">
        <f t="shared" si="7"/>
        <v>10211.499129586775</v>
      </c>
      <c r="O36" s="87">
        <f t="shared" si="7"/>
        <v>2717.0985200994573</v>
      </c>
      <c r="P36" s="87">
        <f t="shared" si="7"/>
        <v>5126.7095729726789</v>
      </c>
      <c r="Q36" s="87">
        <f t="shared" si="7"/>
        <v>8225.1557965192842</v>
      </c>
      <c r="R36" s="87">
        <f t="shared" si="7"/>
        <v>11415.339986758898</v>
      </c>
      <c r="S36" s="87">
        <f t="shared" si="7"/>
        <v>14833.15028366409</v>
      </c>
    </row>
  </sheetData>
  <mergeCells count="5">
    <mergeCell ref="B2:D2"/>
    <mergeCell ref="O2:S2"/>
    <mergeCell ref="E2:I2"/>
    <mergeCell ref="A1:S1"/>
    <mergeCell ref="J2:N2"/>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C4F82-EC85-4A61-8CA9-2152CE2F29EC}">
  <sheetPr>
    <tabColor theme="1"/>
  </sheetPr>
  <dimension ref="A1"/>
  <sheetViews>
    <sheetView workbookViewId="0">
      <selection activeCell="J18" sqref="J18"/>
    </sheetView>
  </sheetViews>
  <sheetFormatPr defaultRowHeight="14.5" x14ac:dyDescent="0.35"/>
  <cols>
    <col min="1" max="16384" width="8.7265625" style="42"/>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7C75-F687-4CEB-B239-48B8FD058949}">
  <dimension ref="B2:AC49"/>
  <sheetViews>
    <sheetView showGridLines="0" tabSelected="1" zoomScale="71" zoomScaleNormal="55" workbookViewId="0">
      <selection activeCell="U16" sqref="U16"/>
    </sheetView>
  </sheetViews>
  <sheetFormatPr defaultRowHeight="14.5" x14ac:dyDescent="0.35"/>
  <cols>
    <col min="2" max="2" width="38.54296875" bestFit="1" customWidth="1"/>
    <col min="3" max="3" width="8" bestFit="1" customWidth="1"/>
    <col min="4" max="4" width="8.81640625" bestFit="1" customWidth="1"/>
    <col min="5" max="5" width="8.26953125" bestFit="1" customWidth="1"/>
    <col min="7" max="7" width="7.90625" bestFit="1" customWidth="1"/>
    <col min="23" max="23" width="20.453125" customWidth="1"/>
    <col min="24" max="24" width="9.90625" bestFit="1" customWidth="1"/>
    <col min="25" max="25" width="52.81640625" customWidth="1"/>
    <col min="29" max="29" width="9.08984375" bestFit="1" customWidth="1"/>
  </cols>
  <sheetData>
    <row r="2" spans="2:25" ht="15.5" customHeight="1" thickBot="1" x14ac:dyDescent="0.4">
      <c r="B2" s="132" t="s">
        <v>415</v>
      </c>
      <c r="C2" s="131"/>
      <c r="D2" s="130"/>
      <c r="E2" s="287" t="s">
        <v>416</v>
      </c>
      <c r="F2" s="288"/>
      <c r="G2" s="288"/>
      <c r="H2" s="288"/>
      <c r="I2" s="288"/>
      <c r="J2" s="289" t="s">
        <v>417</v>
      </c>
      <c r="K2" s="290"/>
      <c r="L2" s="290"/>
      <c r="M2" s="290"/>
      <c r="N2" s="290"/>
      <c r="O2" s="291" t="s">
        <v>418</v>
      </c>
      <c r="P2" s="292"/>
      <c r="Q2" s="292"/>
      <c r="R2" s="292"/>
      <c r="S2" s="292"/>
      <c r="W2" s="222" t="s">
        <v>452</v>
      </c>
      <c r="X2" s="223">
        <f>X5*X7+X6*X10</f>
        <v>6.7988742297813681E-2</v>
      </c>
      <c r="Y2" s="217"/>
    </row>
    <row r="3" spans="2:25" ht="15" thickBot="1" x14ac:dyDescent="0.4">
      <c r="B3" s="129" t="s">
        <v>414</v>
      </c>
      <c r="C3" s="106"/>
      <c r="D3" s="128" t="s">
        <v>413</v>
      </c>
      <c r="E3" s="133" t="s">
        <v>412</v>
      </c>
      <c r="F3" s="133" t="s">
        <v>411</v>
      </c>
      <c r="G3" s="133" t="s">
        <v>410</v>
      </c>
      <c r="H3" s="133" t="s">
        <v>409</v>
      </c>
      <c r="I3" s="133" t="s">
        <v>408</v>
      </c>
      <c r="J3" s="134" t="s">
        <v>412</v>
      </c>
      <c r="K3" s="134" t="s">
        <v>411</v>
      </c>
      <c r="L3" s="134" t="s">
        <v>410</v>
      </c>
      <c r="M3" s="134" t="s">
        <v>409</v>
      </c>
      <c r="N3" s="134" t="s">
        <v>408</v>
      </c>
      <c r="O3" s="135" t="s">
        <v>412</v>
      </c>
      <c r="P3" s="135" t="s">
        <v>411</v>
      </c>
      <c r="Q3" s="135" t="s">
        <v>410</v>
      </c>
      <c r="R3" s="135" t="s">
        <v>409</v>
      </c>
      <c r="S3" s="135" t="s">
        <v>408</v>
      </c>
      <c r="W3" s="37" t="s">
        <v>457</v>
      </c>
      <c r="X3" s="208">
        <f>J26+J27</f>
        <v>13898</v>
      </c>
      <c r="Y3" s="218" t="s">
        <v>453</v>
      </c>
    </row>
    <row r="4" spans="2:25" ht="15" thickBot="1" x14ac:dyDescent="0.4">
      <c r="B4" s="106"/>
      <c r="C4" s="106"/>
      <c r="D4" s="106"/>
      <c r="E4" s="114"/>
      <c r="F4" s="114"/>
      <c r="G4" s="114"/>
      <c r="H4" s="114"/>
      <c r="I4" s="114"/>
      <c r="J4" s="114"/>
      <c r="K4" s="114"/>
      <c r="L4" s="114"/>
      <c r="M4" s="114"/>
      <c r="N4" s="114"/>
      <c r="O4" s="114"/>
      <c r="P4" s="114"/>
      <c r="Q4" s="114"/>
      <c r="R4" s="114"/>
      <c r="S4" s="114"/>
      <c r="W4" s="37" t="s">
        <v>458</v>
      </c>
      <c r="X4" s="208">
        <f>J29*J30</f>
        <v>55640.957013629995</v>
      </c>
      <c r="Y4" s="218" t="s">
        <v>455</v>
      </c>
    </row>
    <row r="5" spans="2:25" ht="15" thickBot="1" x14ac:dyDescent="0.4">
      <c r="B5" s="119" t="s">
        <v>407</v>
      </c>
      <c r="C5" s="106"/>
      <c r="D5" s="121" t="s">
        <v>397</v>
      </c>
      <c r="E5" s="136">
        <f>Forecast_IS!E36</f>
        <v>6570.3093019733615</v>
      </c>
      <c r="F5" s="136">
        <f>Forecast_IS!F36</f>
        <v>6250.1008415309725</v>
      </c>
      <c r="G5" s="136">
        <f>Forecast_IS!G36</f>
        <v>5648.4347380355321</v>
      </c>
      <c r="H5" s="136">
        <f>Forecast_IS!H36</f>
        <v>5893.1705102188171</v>
      </c>
      <c r="I5" s="136">
        <f>Forecast_IS!I36</f>
        <v>6104.71470475365</v>
      </c>
      <c r="J5" s="139">
        <f>Forecast_IS!J36</f>
        <v>9001.8993465752101</v>
      </c>
      <c r="K5" s="139">
        <f>Forecast_IS!K36</f>
        <v>7417.1900478214011</v>
      </c>
      <c r="L5" s="139">
        <f>Forecast_IS!L36</f>
        <v>7203.2233049977312</v>
      </c>
      <c r="M5" s="139">
        <f>Forecast_IS!M36</f>
        <v>7479.6307692054361</v>
      </c>
      <c r="N5" s="139">
        <f>Forecast_IS!N36</f>
        <v>7709.68209354393</v>
      </c>
      <c r="O5" s="142">
        <f>Forecast_IS!O36</f>
        <v>10915.940233248901</v>
      </c>
      <c r="P5" s="142">
        <f>Forecast_IS!P36</f>
        <v>9158.3127556824402</v>
      </c>
      <c r="Q5" s="142">
        <f>Forecast_IS!Q36</f>
        <v>9554.6810732685863</v>
      </c>
      <c r="R5" s="142">
        <f>Forecast_IS!R36</f>
        <v>9137.8621456280562</v>
      </c>
      <c r="S5" s="142">
        <f>Forecast_IS!S36</f>
        <v>9399.6221653008179</v>
      </c>
      <c r="W5" s="39" t="s">
        <v>105</v>
      </c>
      <c r="X5" s="209">
        <f>X3/(X3+X4)</f>
        <v>0.19985919543308539</v>
      </c>
      <c r="Y5" s="219"/>
    </row>
    <row r="6" spans="2:25" ht="15" thickBot="1" x14ac:dyDescent="0.4">
      <c r="B6" s="127" t="s">
        <v>419</v>
      </c>
      <c r="C6" s="106"/>
      <c r="D6" s="121" t="s">
        <v>397</v>
      </c>
      <c r="E6" s="136">
        <f>Forecast_IS!E55</f>
        <v>5256.2474415786892</v>
      </c>
      <c r="F6" s="136">
        <f>Forecast_IS!F55</f>
        <v>5000.0806732247784</v>
      </c>
      <c r="G6" s="136">
        <f>Forecast_IS!G55</f>
        <v>4518.747790428426</v>
      </c>
      <c r="H6" s="136">
        <f>Forecast_IS!H55</f>
        <v>4714.536408175054</v>
      </c>
      <c r="I6" s="136">
        <f>Forecast_IS!I55</f>
        <v>4883.7717638029198</v>
      </c>
      <c r="J6" s="139">
        <f>Forecast_IS!J55</f>
        <v>7201.5194772601681</v>
      </c>
      <c r="K6" s="139">
        <f>Forecast_IS!K55</f>
        <v>5933.7520382571211</v>
      </c>
      <c r="L6" s="139">
        <f>Forecast_IS!L55</f>
        <v>5762.5786439981857</v>
      </c>
      <c r="M6" s="139">
        <f>Forecast_IS!M55</f>
        <v>5983.7046153643496</v>
      </c>
      <c r="N6" s="139">
        <f>Forecast_IS!N55</f>
        <v>6167.7456748351442</v>
      </c>
      <c r="O6" s="142">
        <f>Forecast_IS!O55</f>
        <v>8732.7521865991203</v>
      </c>
      <c r="P6" s="142">
        <f>Forecast_IS!P55</f>
        <v>7326.6502045459529</v>
      </c>
      <c r="Q6" s="142">
        <f>Forecast_IS!Q55</f>
        <v>7643.7448586148694</v>
      </c>
      <c r="R6" s="142">
        <f>Forecast_IS!R55</f>
        <v>7310.2897165024451</v>
      </c>
      <c r="S6" s="142">
        <f>Forecast_IS!S55</f>
        <v>7519.6977322406547</v>
      </c>
      <c r="W6" s="39" t="s">
        <v>106</v>
      </c>
      <c r="X6" s="209">
        <f>X4/(X3+X4)</f>
        <v>0.80014080456691472</v>
      </c>
      <c r="Y6" s="219"/>
    </row>
    <row r="7" spans="2:25" ht="15" thickBot="1" x14ac:dyDescent="0.4">
      <c r="B7" s="126" t="s">
        <v>406</v>
      </c>
      <c r="C7" s="106"/>
      <c r="D7" s="121" t="s">
        <v>397</v>
      </c>
      <c r="E7" s="136">
        <f>Forecast_CF!E6</f>
        <v>5256.7567874999995</v>
      </c>
      <c r="F7" s="136">
        <f>Forecast_CF!F6</f>
        <v>5434.0886150624992</v>
      </c>
      <c r="G7" s="136">
        <f>Forecast_CF!G6</f>
        <v>5576.0058298546865</v>
      </c>
      <c r="H7" s="136">
        <f>Forecast_CF!H6</f>
        <v>5693.8974017086393</v>
      </c>
      <c r="I7" s="136">
        <f>Forecast_CF!I6</f>
        <v>5792.4648892014256</v>
      </c>
      <c r="J7" s="139">
        <f>Forecast_CF!J6</f>
        <v>5293.9810499999994</v>
      </c>
      <c r="K7" s="139">
        <f>Forecast_CF!K6</f>
        <v>5511.3627555000003</v>
      </c>
      <c r="L7" s="139">
        <f>Forecast_CF!L6</f>
        <v>5689.1652035400002</v>
      </c>
      <c r="M7" s="139">
        <f>Forecast_CF!M6</f>
        <v>5844.3543616184988</v>
      </c>
      <c r="N7" s="139">
        <f>Forecast_CF!N6</f>
        <v>5981.4797554614388</v>
      </c>
      <c r="O7" s="142">
        <f>Forecast_CF!O6</f>
        <v>5319.1943624999994</v>
      </c>
      <c r="P7" s="142">
        <f>Forecast_CF!P6</f>
        <v>5564.2065268124989</v>
      </c>
      <c r="Q7" s="142">
        <f>Forecast_CF!Q6</f>
        <v>5771.5337222915605</v>
      </c>
      <c r="R7" s="142">
        <f>Forecast_CF!R6</f>
        <v>5957.8257995177601</v>
      </c>
      <c r="S7" s="142">
        <f>Forecast_CF!S6</f>
        <v>6120.4433526854564</v>
      </c>
      <c r="W7" s="38" t="s">
        <v>107</v>
      </c>
      <c r="X7" s="210">
        <f>X8*(1-X9)</f>
        <v>4.104E-2</v>
      </c>
      <c r="Y7" s="286" t="s">
        <v>456</v>
      </c>
    </row>
    <row r="8" spans="2:25" ht="15.5" customHeight="1" thickBot="1" x14ac:dyDescent="0.4">
      <c r="B8" s="119" t="s">
        <v>405</v>
      </c>
      <c r="C8" s="106"/>
      <c r="D8" s="121" t="s">
        <v>397</v>
      </c>
      <c r="E8" s="136">
        <f>SUM(Forecast_CF!E10:E12)</f>
        <v>-36.632585026686911</v>
      </c>
      <c r="F8" s="136">
        <f>SUM(Forecast_CF!F10:F12)</f>
        <v>15.839741315201991</v>
      </c>
      <c r="G8" s="136">
        <f>SUM(Forecast_CF!G10:G12)</f>
        <v>-2.6427870386132781</v>
      </c>
      <c r="H8" s="136">
        <f>SUM(Forecast_CF!H10:H12)</f>
        <v>25.333179321500666</v>
      </c>
      <c r="I8" s="136">
        <f>SUM(Forecast_CF!I10:I12)</f>
        <v>23.757695791540073</v>
      </c>
      <c r="J8" s="139">
        <f>SUM(Forecast_CF!J10:J12)</f>
        <v>62.536688207131192</v>
      </c>
      <c r="K8" s="139">
        <f>SUM(Forecast_CF!K10:K12)</f>
        <v>-28.466167096997651</v>
      </c>
      <c r="L8" s="139">
        <f>SUM(Forecast_CF!L10:L12)</f>
        <v>17.723083812752066</v>
      </c>
      <c r="M8" s="139">
        <f>SUM(Forecast_CF!M10:M12)</f>
        <v>33.31492014964806</v>
      </c>
      <c r="N8" s="139">
        <f>SUM(Forecast_CF!N10:N12)</f>
        <v>30.128894349557413</v>
      </c>
      <c r="O8" s="142">
        <f>SUM(Forecast_CF!O10:O12)</f>
        <v>129.24546659060252</v>
      </c>
      <c r="P8" s="142">
        <f>SUM(Forecast_CF!P10:P12)</f>
        <v>-31.505632331835614</v>
      </c>
      <c r="Q8" s="142">
        <f>SUM(Forecast_CF!Q10:Q12)</f>
        <v>47.040580734215382</v>
      </c>
      <c r="R8" s="142">
        <f>SUM(Forecast_CF!R10:R12)</f>
        <v>10.545480454748713</v>
      </c>
      <c r="S8" s="142">
        <f>SUM(Forecast_CF!S10:S12)</f>
        <v>34.440177791174847</v>
      </c>
      <c r="W8" s="39" t="s">
        <v>108</v>
      </c>
      <c r="X8" s="210">
        <v>5.1299999999999998E-2</v>
      </c>
      <c r="Y8" s="286"/>
    </row>
    <row r="9" spans="2:25" ht="15" thickBot="1" x14ac:dyDescent="0.4">
      <c r="B9" s="125" t="s">
        <v>404</v>
      </c>
      <c r="C9" s="109"/>
      <c r="D9" s="124" t="s">
        <v>397</v>
      </c>
      <c r="E9" s="137">
        <f>Forecast_CF!E17</f>
        <v>-3900</v>
      </c>
      <c r="F9" s="137">
        <f>Forecast_CF!F17</f>
        <v>-4017</v>
      </c>
      <c r="G9" s="137">
        <f>Forecast_CF!G17</f>
        <v>-4097.34</v>
      </c>
      <c r="H9" s="137">
        <f>Forecast_CF!H17</f>
        <v>-4179.2867999999999</v>
      </c>
      <c r="I9" s="137">
        <f>Forecast_CF!I17</f>
        <v>-4262.8725359999999</v>
      </c>
      <c r="J9" s="140">
        <f>Forecast_CF!J17</f>
        <v>-3900</v>
      </c>
      <c r="K9" s="140">
        <f>Forecast_CF!K17</f>
        <v>-4017</v>
      </c>
      <c r="L9" s="140">
        <f>Forecast_CF!L17</f>
        <v>-4097.34</v>
      </c>
      <c r="M9" s="140">
        <f>Forecast_CF!M17</f>
        <v>-4179.2867999999999</v>
      </c>
      <c r="N9" s="140">
        <f>Forecast_CF!N17</f>
        <v>-4262.8725359999999</v>
      </c>
      <c r="O9" s="143">
        <f>Forecast_CF!O17</f>
        <v>-3900</v>
      </c>
      <c r="P9" s="143">
        <f>Forecast_CF!P17</f>
        <v>-4017</v>
      </c>
      <c r="Q9" s="143">
        <f>Forecast_CF!Q17</f>
        <v>-4097.34</v>
      </c>
      <c r="R9" s="143">
        <f>Forecast_CF!R17</f>
        <v>-4179.2867999999999</v>
      </c>
      <c r="S9" s="143">
        <f>Forecast_CF!S17</f>
        <v>-4262.8725359999999</v>
      </c>
      <c r="W9" s="39" t="s">
        <v>110</v>
      </c>
      <c r="X9" s="209">
        <f>20%</f>
        <v>0.2</v>
      </c>
      <c r="Y9" s="286"/>
    </row>
    <row r="10" spans="2:25" ht="15" thickBot="1" x14ac:dyDescent="0.4">
      <c r="B10" s="123" t="s">
        <v>403</v>
      </c>
      <c r="C10" s="116"/>
      <c r="D10" s="122" t="s">
        <v>397</v>
      </c>
      <c r="E10" s="138">
        <f>SUM(E6:E9)</f>
        <v>6576.3716440520002</v>
      </c>
      <c r="F10" s="138">
        <f t="shared" ref="F10:S10" si="0">SUM(F6:F9)</f>
        <v>6433.0090296024791</v>
      </c>
      <c r="G10" s="138">
        <f t="shared" si="0"/>
        <v>5994.7708332445</v>
      </c>
      <c r="H10" s="138">
        <f t="shared" si="0"/>
        <v>6254.4801892051928</v>
      </c>
      <c r="I10" s="138">
        <f t="shared" si="0"/>
        <v>6437.1218127958864</v>
      </c>
      <c r="J10" s="141">
        <f>SUM(J6:J9)</f>
        <v>8658.0372154672987</v>
      </c>
      <c r="K10" s="141">
        <f t="shared" si="0"/>
        <v>7399.6486266601241</v>
      </c>
      <c r="L10" s="141">
        <f t="shared" si="0"/>
        <v>7372.1269313509383</v>
      </c>
      <c r="M10" s="141">
        <f t="shared" si="0"/>
        <v>7682.0870971324966</v>
      </c>
      <c r="N10" s="141">
        <f t="shared" si="0"/>
        <v>7916.4817886461415</v>
      </c>
      <c r="O10" s="144">
        <f t="shared" si="0"/>
        <v>10281.192015689723</v>
      </c>
      <c r="P10" s="144">
        <f t="shared" si="0"/>
        <v>8842.3510990266168</v>
      </c>
      <c r="Q10" s="144">
        <f t="shared" si="0"/>
        <v>9364.9791616406455</v>
      </c>
      <c r="R10" s="144">
        <f t="shared" si="0"/>
        <v>9099.3741964749534</v>
      </c>
      <c r="S10" s="144">
        <f t="shared" si="0"/>
        <v>9411.7087267172865</v>
      </c>
      <c r="W10" s="38" t="s">
        <v>112</v>
      </c>
      <c r="X10" s="210">
        <f>X11+X12*X13</f>
        <v>7.4719999999999995E-2</v>
      </c>
      <c r="Y10" s="219"/>
    </row>
    <row r="11" spans="2:25" ht="15.5" thickTop="1" thickBot="1" x14ac:dyDescent="0.4">
      <c r="B11" t="s">
        <v>95</v>
      </c>
      <c r="E11" s="33">
        <f>X2</f>
        <v>6.7988742297813681E-2</v>
      </c>
      <c r="W11" s="39" t="s">
        <v>113</v>
      </c>
      <c r="X11" s="210">
        <v>4.3499999999999997E-2</v>
      </c>
      <c r="Y11" s="220">
        <v>46111</v>
      </c>
    </row>
    <row r="12" spans="2:25" ht="15" thickBot="1" x14ac:dyDescent="0.4">
      <c r="B12" s="119" t="s">
        <v>402</v>
      </c>
      <c r="C12" s="106"/>
      <c r="D12" s="121" t="s">
        <v>28</v>
      </c>
      <c r="E12" s="145">
        <f t="shared" ref="E12:S12" si="1">$E$11</f>
        <v>6.7988742297813681E-2</v>
      </c>
      <c r="F12" s="145">
        <f t="shared" si="1"/>
        <v>6.7988742297813681E-2</v>
      </c>
      <c r="G12" s="145">
        <f t="shared" si="1"/>
        <v>6.7988742297813681E-2</v>
      </c>
      <c r="H12" s="145">
        <f t="shared" si="1"/>
        <v>6.7988742297813681E-2</v>
      </c>
      <c r="I12" s="145">
        <f t="shared" si="1"/>
        <v>6.7988742297813681E-2</v>
      </c>
      <c r="J12" s="146">
        <f t="shared" si="1"/>
        <v>6.7988742297813681E-2</v>
      </c>
      <c r="K12" s="146">
        <f t="shared" si="1"/>
        <v>6.7988742297813681E-2</v>
      </c>
      <c r="L12" s="146">
        <f t="shared" si="1"/>
        <v>6.7988742297813681E-2</v>
      </c>
      <c r="M12" s="146">
        <f t="shared" si="1"/>
        <v>6.7988742297813681E-2</v>
      </c>
      <c r="N12" s="146">
        <f t="shared" si="1"/>
        <v>6.7988742297813681E-2</v>
      </c>
      <c r="O12" s="147">
        <f t="shared" si="1"/>
        <v>6.7988742297813681E-2</v>
      </c>
      <c r="P12" s="147">
        <f t="shared" si="1"/>
        <v>6.7988742297813681E-2</v>
      </c>
      <c r="Q12" s="147">
        <f t="shared" si="1"/>
        <v>6.7988742297813681E-2</v>
      </c>
      <c r="R12" s="147">
        <f t="shared" si="1"/>
        <v>6.7988742297813681E-2</v>
      </c>
      <c r="S12" s="147">
        <f t="shared" si="1"/>
        <v>6.7988742297813681E-2</v>
      </c>
      <c r="W12" s="39" t="s">
        <v>114</v>
      </c>
      <c r="X12" s="208">
        <v>0.7</v>
      </c>
      <c r="Y12" s="218" t="s">
        <v>115</v>
      </c>
    </row>
    <row r="13" spans="2:25" ht="15" thickBot="1" x14ac:dyDescent="0.4">
      <c r="B13" s="119" t="s">
        <v>401</v>
      </c>
      <c r="C13" s="106"/>
      <c r="D13" s="118" t="s">
        <v>399</v>
      </c>
      <c r="E13" s="120">
        <v>1</v>
      </c>
      <c r="F13" s="120">
        <v>2</v>
      </c>
      <c r="G13" s="120">
        <v>3</v>
      </c>
      <c r="H13" s="120">
        <v>4</v>
      </c>
      <c r="I13" s="120">
        <v>5</v>
      </c>
      <c r="J13" s="120">
        <v>1</v>
      </c>
      <c r="K13" s="120">
        <v>2</v>
      </c>
      <c r="L13" s="120">
        <v>3</v>
      </c>
      <c r="M13" s="120">
        <v>4</v>
      </c>
      <c r="N13" s="120">
        <v>5</v>
      </c>
      <c r="O13" s="120">
        <v>1</v>
      </c>
      <c r="P13" s="120">
        <v>2</v>
      </c>
      <c r="Q13" s="120">
        <v>3</v>
      </c>
      <c r="R13" s="120">
        <v>4</v>
      </c>
      <c r="S13" s="120">
        <v>5</v>
      </c>
      <c r="W13" s="39" t="s">
        <v>116</v>
      </c>
      <c r="X13" s="211">
        <v>4.4600000000000001E-2</v>
      </c>
      <c r="Y13" s="221" t="s">
        <v>117</v>
      </c>
    </row>
    <row r="14" spans="2:25" ht="15" thickBot="1" x14ac:dyDescent="0.4">
      <c r="B14" s="119" t="s">
        <v>400</v>
      </c>
      <c r="C14" s="106"/>
      <c r="D14" s="118" t="s">
        <v>399</v>
      </c>
      <c r="E14" s="148">
        <f t="shared" ref="E14:S14" si="2">1/(1+E12)^E13</f>
        <v>0.93633945789397222</v>
      </c>
      <c r="F14" s="148">
        <f t="shared" si="2"/>
        <v>0.87673158040917787</v>
      </c>
      <c r="G14" s="148">
        <f t="shared" si="2"/>
        <v>0.82091837271885515</v>
      </c>
      <c r="H14" s="148">
        <f t="shared" si="2"/>
        <v>0.76865826408677473</v>
      </c>
      <c r="I14" s="148">
        <f t="shared" si="2"/>
        <v>0.71972506230073241</v>
      </c>
      <c r="J14" s="150">
        <f t="shared" si="2"/>
        <v>0.93633945789397222</v>
      </c>
      <c r="K14" s="150">
        <f t="shared" si="2"/>
        <v>0.87673158040917787</v>
      </c>
      <c r="L14" s="150">
        <f t="shared" si="2"/>
        <v>0.82091837271885515</v>
      </c>
      <c r="M14" s="150">
        <f t="shared" si="2"/>
        <v>0.76865826408677473</v>
      </c>
      <c r="N14" s="150">
        <f t="shared" si="2"/>
        <v>0.71972506230073241</v>
      </c>
      <c r="O14" s="153">
        <f t="shared" si="2"/>
        <v>0.93633945789397222</v>
      </c>
      <c r="P14" s="153">
        <f t="shared" si="2"/>
        <v>0.87673158040917787</v>
      </c>
      <c r="Q14" s="153">
        <f t="shared" si="2"/>
        <v>0.82091837271885515</v>
      </c>
      <c r="R14" s="153">
        <f t="shared" si="2"/>
        <v>0.76865826408677473</v>
      </c>
      <c r="S14" s="153">
        <f t="shared" si="2"/>
        <v>0.71972506230073241</v>
      </c>
    </row>
    <row r="15" spans="2:25" ht="15" thickBot="1" x14ac:dyDescent="0.4">
      <c r="B15" s="109"/>
      <c r="C15" s="109"/>
      <c r="D15" s="109"/>
      <c r="E15" s="109"/>
      <c r="F15" s="109"/>
      <c r="G15" s="109"/>
      <c r="H15" s="109"/>
      <c r="I15" s="109"/>
      <c r="J15" s="109"/>
      <c r="K15" s="109"/>
      <c r="L15" s="109"/>
      <c r="M15" s="109"/>
      <c r="N15" s="109"/>
      <c r="O15" s="109"/>
      <c r="P15" s="109"/>
      <c r="Q15" s="109"/>
      <c r="R15" s="109"/>
      <c r="S15" s="109"/>
    </row>
    <row r="16" spans="2:25" ht="15" thickBot="1" x14ac:dyDescent="0.4">
      <c r="B16" s="117" t="s">
        <v>398</v>
      </c>
      <c r="C16" s="116"/>
      <c r="D16" s="115" t="s">
        <v>397</v>
      </c>
      <c r="E16" s="149">
        <f>E10*E14</f>
        <v>6157.7162601009404</v>
      </c>
      <c r="F16" s="149">
        <f t="shared" ref="F16:S16" si="3">F10*F14</f>
        <v>5640.0221733098933</v>
      </c>
      <c r="G16" s="149">
        <f t="shared" si="3"/>
        <v>4921.2175172495299</v>
      </c>
      <c r="H16" s="149">
        <f t="shared" si="3"/>
        <v>4807.5578849995854</v>
      </c>
      <c r="I16" s="149">
        <f t="shared" si="3"/>
        <v>4632.9578977519232</v>
      </c>
      <c r="J16" s="152">
        <f t="shared" si="3"/>
        <v>8106.8618727564872</v>
      </c>
      <c r="K16" s="152">
        <f t="shared" si="3"/>
        <v>6487.5056349243332</v>
      </c>
      <c r="L16" s="152">
        <f t="shared" si="3"/>
        <v>6051.9144439614593</v>
      </c>
      <c r="M16" s="152">
        <f t="shared" si="3"/>
        <v>5904.8997326452754</v>
      </c>
      <c r="N16" s="152">
        <f t="shared" si="3"/>
        <v>5697.690348535958</v>
      </c>
      <c r="O16" s="151">
        <f t="shared" si="3"/>
        <v>9626.6857584747504</v>
      </c>
      <c r="P16" s="151">
        <f t="shared" si="3"/>
        <v>7752.3684535824368</v>
      </c>
      <c r="Q16" s="151">
        <f t="shared" si="3"/>
        <v>7687.883453920027</v>
      </c>
      <c r="R16" s="151">
        <f t="shared" si="3"/>
        <v>6994.3091741384287</v>
      </c>
      <c r="S16" s="151">
        <f t="shared" si="3"/>
        <v>6773.842649692946</v>
      </c>
    </row>
    <row r="17" spans="6:29" ht="15" thickTop="1" x14ac:dyDescent="0.35"/>
    <row r="18" spans="6:29" x14ac:dyDescent="0.35">
      <c r="L18" s="187">
        <f>AA48</f>
        <v>204.91268025693714</v>
      </c>
      <c r="M18" s="190">
        <f>N18-0.5</f>
        <v>5</v>
      </c>
      <c r="N18" s="190">
        <f>O18-0.5</f>
        <v>5.5</v>
      </c>
      <c r="O18" s="190">
        <f>6</f>
        <v>6</v>
      </c>
      <c r="P18" s="190">
        <f>O18+0.5</f>
        <v>6.5</v>
      </c>
      <c r="Q18" s="190">
        <f>P18+0.5</f>
        <v>7</v>
      </c>
    </row>
    <row r="19" spans="6:29" ht="15" thickBot="1" x14ac:dyDescent="0.4">
      <c r="L19" s="191">
        <f>L20-0.5%</f>
        <v>5.8000000000000003E-2</v>
      </c>
      <c r="M19" s="169">
        <f t="dataTable" ref="M19:Q23" dt2D="1" dtr="1" r1="AA37" r2="X2"/>
        <v>184.3296690773517</v>
      </c>
      <c r="N19" s="169">
        <v>200.28094482417936</v>
      </c>
      <c r="O19" s="169">
        <v>216.23222057100699</v>
      </c>
      <c r="P19" s="169">
        <v>232.18349631783471</v>
      </c>
      <c r="Q19" s="169">
        <v>248.1347720646624</v>
      </c>
      <c r="Y19" s="111" t="s">
        <v>396</v>
      </c>
      <c r="Z19" s="110"/>
      <c r="AA19" s="154" t="s">
        <v>416</v>
      </c>
      <c r="AB19" s="155" t="s">
        <v>417</v>
      </c>
      <c r="AC19" s="156" t="s">
        <v>418</v>
      </c>
    </row>
    <row r="20" spans="6:29" ht="15" thickBot="1" x14ac:dyDescent="0.4">
      <c r="L20" s="191">
        <f>L21-0.5%</f>
        <v>6.3E-2</v>
      </c>
      <c r="M20" s="169">
        <v>179.33127441658405</v>
      </c>
      <c r="N20" s="169">
        <v>194.91091514745798</v>
      </c>
      <c r="O20" s="169">
        <v>210.49055587833189</v>
      </c>
      <c r="P20" s="169">
        <v>226.07019660920582</v>
      </c>
      <c r="Q20" s="169">
        <v>241.64983734007976</v>
      </c>
      <c r="Y20" s="113" t="s">
        <v>395</v>
      </c>
      <c r="Z20" s="112"/>
      <c r="AA20" s="136">
        <f>I10</f>
        <v>6437.1218127958864</v>
      </c>
      <c r="AB20" s="139">
        <f>N10</f>
        <v>7916.4817886461415</v>
      </c>
      <c r="AC20" s="142">
        <f>S10</f>
        <v>9411.7087267172865</v>
      </c>
    </row>
    <row r="21" spans="6:29" ht="15" thickBot="1" x14ac:dyDescent="0.4">
      <c r="L21" s="191">
        <f>6.8%</f>
        <v>6.8000000000000005E-2</v>
      </c>
      <c r="M21" s="169">
        <v>174.46356483823996</v>
      </c>
      <c r="N21" s="169">
        <v>189.68191237408578</v>
      </c>
      <c r="O21" s="169">
        <v>204.90025990993146</v>
      </c>
      <c r="P21" s="169">
        <v>220.1186074457772</v>
      </c>
      <c r="Q21" s="169">
        <v>235.33695498162297</v>
      </c>
      <c r="Y21" s="112" t="s">
        <v>394</v>
      </c>
      <c r="Z21" s="112"/>
      <c r="AA21" s="157">
        <f>'Terminal Growth'!$I$26</f>
        <v>0.01</v>
      </c>
      <c r="AB21" s="161">
        <f>'Terminal Growth'!$I$26</f>
        <v>0.01</v>
      </c>
      <c r="AC21" s="165">
        <f>'Terminal Growth'!$I$26</f>
        <v>0.01</v>
      </c>
    </row>
    <row r="22" spans="6:29" ht="15" thickBot="1" x14ac:dyDescent="0.4">
      <c r="L22" s="191">
        <f>L21+0.5%</f>
        <v>7.3000000000000009E-2</v>
      </c>
      <c r="M22" s="169">
        <v>169.72244991530917</v>
      </c>
      <c r="N22" s="169">
        <v>184.58951187315438</v>
      </c>
      <c r="O22" s="169">
        <v>199.45657383099959</v>
      </c>
      <c r="P22" s="169">
        <v>214.32363578884485</v>
      </c>
      <c r="Q22" s="169">
        <v>229.19069774669003</v>
      </c>
      <c r="Y22" s="112" t="s">
        <v>393</v>
      </c>
      <c r="Z22" s="112"/>
      <c r="AA22" s="136">
        <f>(AA20 * (1 + $AA$21)) / (WACC!$D$3 - $AA$21)</f>
        <v>118158.14712092259</v>
      </c>
      <c r="AB22" s="139">
        <f>(AB20 * (1 + $AB$21)) / (WACC!$D$3 - $AB$21)</f>
        <v>145312.89714038777</v>
      </c>
      <c r="AC22" s="142">
        <f>(AC20 * (1 + $AC$21)) / (WACC!$D$3 - $AC$21)</f>
        <v>172758.89702446348</v>
      </c>
    </row>
    <row r="23" spans="6:29" ht="15" thickBot="1" x14ac:dyDescent="0.4">
      <c r="L23" s="191">
        <f>L22+0.5%</f>
        <v>7.8000000000000014E-2</v>
      </c>
      <c r="M23" s="169">
        <v>165.10398670896055</v>
      </c>
      <c r="N23" s="169">
        <v>179.62944878804993</v>
      </c>
      <c r="O23" s="169">
        <v>194.15491086713931</v>
      </c>
      <c r="P23" s="169">
        <v>208.68037294622874</v>
      </c>
      <c r="Q23" s="169">
        <v>223.20583502531818</v>
      </c>
      <c r="Y23" s="112" t="s">
        <v>392</v>
      </c>
      <c r="Z23" s="112"/>
      <c r="AA23" s="158">
        <f>IFERROR(AA27/(Forecast_IS!I52*DCF!I14),0)</f>
        <v>9.9316099406415983</v>
      </c>
      <c r="AB23" s="162">
        <f>IFERROR(AB27/(Forecast_IS!N52*N14),0)</f>
        <v>10.61362788220522</v>
      </c>
      <c r="AC23" s="166">
        <f>IFERROR(AC27/(Forecast_IS!S52*S14),0)</f>
        <v>11.131325239848531</v>
      </c>
    </row>
    <row r="24" spans="6:29" x14ac:dyDescent="0.35">
      <c r="F24" s="212" t="s">
        <v>432</v>
      </c>
      <c r="G24" s="213"/>
      <c r="H24" s="213"/>
      <c r="I24" s="213"/>
      <c r="J24" s="224"/>
    </row>
    <row r="25" spans="6:29" ht="15" thickBot="1" x14ac:dyDescent="0.4">
      <c r="F25" s="198" t="s">
        <v>433</v>
      </c>
      <c r="I25" s="200" t="s">
        <v>5</v>
      </c>
      <c r="J25" s="214">
        <v>174</v>
      </c>
      <c r="L25" s="188">
        <f>AB48</f>
        <v>254.09785702839469</v>
      </c>
      <c r="M25" s="193">
        <f>N25-0.5</f>
        <v>5</v>
      </c>
      <c r="N25" s="193">
        <f>O25-0.5</f>
        <v>5.5</v>
      </c>
      <c r="O25" s="193">
        <f>6</f>
        <v>6</v>
      </c>
      <c r="P25" s="193">
        <f>O25+0.5</f>
        <v>6.5</v>
      </c>
      <c r="Q25" s="193">
        <f>P25+0.5</f>
        <v>7</v>
      </c>
      <c r="Y25" s="111" t="s">
        <v>391</v>
      </c>
      <c r="Z25" s="110"/>
      <c r="AA25" s="154" t="s">
        <v>416</v>
      </c>
      <c r="AB25" s="155" t="s">
        <v>417</v>
      </c>
      <c r="AC25" s="156" t="s">
        <v>418</v>
      </c>
    </row>
    <row r="26" spans="6:29" ht="15" thickBot="1" x14ac:dyDescent="0.4">
      <c r="F26" s="198" t="s">
        <v>434</v>
      </c>
      <c r="I26" s="200" t="s">
        <v>5</v>
      </c>
      <c r="J26" s="214">
        <v>749</v>
      </c>
      <c r="L26" s="192">
        <f>L27-0.5%</f>
        <v>5.8000000000000003E-2</v>
      </c>
      <c r="M26" s="169">
        <f t="dataTable" ref="M26:Q30" dt2D="1" dtr="1" r1="AB37" r2="X2" ca="1"/>
        <v>230.59798765128227</v>
      </c>
      <c r="N26" s="169">
        <v>248.95456504201914</v>
      </c>
      <c r="O26" s="169">
        <v>267.31114243275601</v>
      </c>
      <c r="P26" s="169">
        <v>285.66771982349286</v>
      </c>
      <c r="Q26" s="169">
        <v>304.0242972142297</v>
      </c>
      <c r="Y26" s="106" t="s">
        <v>390</v>
      </c>
      <c r="Z26" s="106"/>
      <c r="AA26" s="159">
        <f>SUM(E16:I16)</f>
        <v>26159.471733411872</v>
      </c>
      <c r="AB26" s="163">
        <f>SUM(J16:N16)</f>
        <v>32248.872032823514</v>
      </c>
      <c r="AC26" s="167">
        <f>SUM(O16:S16)</f>
        <v>38835.08948980859</v>
      </c>
    </row>
    <row r="27" spans="6:29" ht="15" thickBot="1" x14ac:dyDescent="0.4">
      <c r="F27" s="198" t="s">
        <v>435</v>
      </c>
      <c r="I27" s="200" t="s">
        <v>5</v>
      </c>
      <c r="J27" s="214">
        <v>13149</v>
      </c>
      <c r="L27" s="192">
        <f>L28-0.5%</f>
        <v>6.3E-2</v>
      </c>
      <c r="M27" s="169">
        <v>224.75133998918463</v>
      </c>
      <c r="N27" s="169">
        <v>242.68024331549319</v>
      </c>
      <c r="O27" s="169">
        <v>260.60914664180171</v>
      </c>
      <c r="P27" s="169">
        <v>278.53804996811027</v>
      </c>
      <c r="Q27" s="169">
        <v>296.46695329441883</v>
      </c>
      <c r="Y27" s="109" t="s">
        <v>389</v>
      </c>
      <c r="Z27" s="109"/>
      <c r="AA27" s="160">
        <f>AA22*I14</f>
        <v>85041.379797945119</v>
      </c>
      <c r="AB27" s="164">
        <f>AB22*N14</f>
        <v>104585.33394746551</v>
      </c>
      <c r="AC27" s="168">
        <f>AC22*S14</f>
        <v>124338.90792393779</v>
      </c>
    </row>
    <row r="28" spans="6:29" ht="15" thickBot="1" x14ac:dyDescent="0.4">
      <c r="F28" s="198" t="s">
        <v>437</v>
      </c>
      <c r="I28" s="200" t="s">
        <v>5</v>
      </c>
      <c r="J28" s="214">
        <v>6167</v>
      </c>
      <c r="L28" s="192">
        <f>6.8%</f>
        <v>6.8000000000000005E-2</v>
      </c>
      <c r="M28" s="169">
        <v>219.05709663290591</v>
      </c>
      <c r="N28" s="169">
        <v>236.5702271645776</v>
      </c>
      <c r="O28" s="169">
        <v>254.08335769624929</v>
      </c>
      <c r="P28" s="169">
        <v>271.59648822792099</v>
      </c>
      <c r="Q28" s="169">
        <v>289.10961875959265</v>
      </c>
      <c r="Y28" s="107" t="s">
        <v>388</v>
      </c>
      <c r="Z28" s="106"/>
      <c r="AA28" s="159">
        <f>SUM(AA26:AA27)</f>
        <v>111200.851531357</v>
      </c>
      <c r="AB28" s="163">
        <f>SUM(AB26:AB27)</f>
        <v>136834.20598028903</v>
      </c>
      <c r="AC28" s="167">
        <f>SUM(AC26:AC27)</f>
        <v>163173.99741374637</v>
      </c>
    </row>
    <row r="29" spans="6:29" ht="15" thickBot="1" x14ac:dyDescent="0.4">
      <c r="F29" s="198" t="s">
        <v>436</v>
      </c>
      <c r="I29" s="200" t="s">
        <v>459</v>
      </c>
      <c r="J29" s="215">
        <v>281.31329699999998</v>
      </c>
      <c r="L29" s="192">
        <f>L28+0.5%</f>
        <v>7.3000000000000009E-2</v>
      </c>
      <c r="M29" s="169">
        <v>213.51049435073855</v>
      </c>
      <c r="N29" s="169">
        <v>230.61936875887741</v>
      </c>
      <c r="O29" s="169">
        <v>247.72824316701627</v>
      </c>
      <c r="P29" s="169">
        <v>264.8371175751551</v>
      </c>
      <c r="Q29" s="169">
        <v>281.94599198329388</v>
      </c>
      <c r="Y29" s="106" t="s">
        <v>387</v>
      </c>
      <c r="Z29" s="106"/>
      <c r="AA29" s="136">
        <f>-($J$26+$J$27)</f>
        <v>-13898</v>
      </c>
      <c r="AB29" s="139">
        <f>-($J$26+$J$27)</f>
        <v>-13898</v>
      </c>
      <c r="AC29" s="142">
        <f>-($J$26+$J$27)</f>
        <v>-13898</v>
      </c>
    </row>
    <row r="30" spans="6:29" ht="15" thickBot="1" x14ac:dyDescent="0.4">
      <c r="F30" s="199" t="s">
        <v>439</v>
      </c>
      <c r="G30" s="202"/>
      <c r="H30" s="202"/>
      <c r="I30" s="201" t="s">
        <v>460</v>
      </c>
      <c r="J30" s="216">
        <v>197.79</v>
      </c>
      <c r="L30" s="192">
        <f>L29+0.5%</f>
        <v>7.8000000000000014E-2</v>
      </c>
      <c r="M30" s="169">
        <v>208.10694150413582</v>
      </c>
      <c r="N30" s="169">
        <v>224.82270599990323</v>
      </c>
      <c r="O30" s="169">
        <v>241.53847049567074</v>
      </c>
      <c r="P30" s="169">
        <v>258.25423499143812</v>
      </c>
      <c r="Q30" s="169">
        <v>274.96999948720554</v>
      </c>
      <c r="Y30" s="109" t="s">
        <v>420</v>
      </c>
      <c r="Z30" s="109"/>
      <c r="AA30" s="160">
        <f>$J$25</f>
        <v>174</v>
      </c>
      <c r="AB30" s="164">
        <f>$J$25</f>
        <v>174</v>
      </c>
      <c r="AC30" s="168">
        <f>$J$25</f>
        <v>174</v>
      </c>
    </row>
    <row r="31" spans="6:29" ht="15" thickBot="1" x14ac:dyDescent="0.4">
      <c r="Y31" s="107" t="s">
        <v>386</v>
      </c>
      <c r="Z31" s="106"/>
      <c r="AA31" s="159">
        <f>SUM(AA28:AA30)</f>
        <v>97476.851531356995</v>
      </c>
      <c r="AB31" s="163">
        <f t="shared" ref="AB31:AC31" si="4">SUM(AB28:AB30)</f>
        <v>123110.20598028903</v>
      </c>
      <c r="AC31" s="167">
        <f t="shared" si="4"/>
        <v>149449.99741374637</v>
      </c>
    </row>
    <row r="32" spans="6:29" ht="15" thickBot="1" x14ac:dyDescent="0.4">
      <c r="L32" s="189">
        <f>AC48</f>
        <v>305.58516478825857</v>
      </c>
      <c r="M32" s="195">
        <f>N32-0.5</f>
        <v>5</v>
      </c>
      <c r="N32" s="195">
        <f>O32-0.5</f>
        <v>5.5</v>
      </c>
      <c r="O32" s="195">
        <f>6</f>
        <v>6</v>
      </c>
      <c r="P32" s="195">
        <f>O32+0.5</f>
        <v>6.5</v>
      </c>
      <c r="Q32" s="195">
        <f>P32+0.5</f>
        <v>7</v>
      </c>
      <c r="Y32" s="109" t="s">
        <v>385</v>
      </c>
      <c r="Z32" s="109"/>
      <c r="AA32" s="108">
        <f>$J$29</f>
        <v>281.31329699999998</v>
      </c>
      <c r="AB32" s="108">
        <f>$J$29</f>
        <v>281.31329699999998</v>
      </c>
      <c r="AC32" s="108">
        <f>$J$29</f>
        <v>281.31329699999998</v>
      </c>
    </row>
    <row r="33" spans="5:29" ht="15" thickBot="1" x14ac:dyDescent="0.4">
      <c r="L33" s="194">
        <f>L34-0.5%</f>
        <v>5.8000000000000003E-2</v>
      </c>
      <c r="M33" s="169">
        <f t="dataTable" ref="M33:Q37" dt2D="1" dtr="1" r1="AC37" r2="X2" ca="1"/>
        <v>279.16654851801792</v>
      </c>
      <c r="N33" s="169">
        <v>299.97524882645212</v>
      </c>
      <c r="O33" s="169">
        <v>320.78394913488643</v>
      </c>
      <c r="P33" s="169">
        <v>341.59264944332068</v>
      </c>
      <c r="Q33" s="169">
        <v>362.40134975175494</v>
      </c>
      <c r="Y33" s="107" t="s">
        <v>384</v>
      </c>
      <c r="Z33" s="106"/>
      <c r="AA33" s="148">
        <f>AA31/AA32</f>
        <v>346.50637766104956</v>
      </c>
      <c r="AB33" s="150">
        <f>AB31/AB32</f>
        <v>437.62668630729189</v>
      </c>
      <c r="AC33" s="153">
        <f>AC31/AC32</f>
        <v>531.25820573545934</v>
      </c>
    </row>
    <row r="34" spans="5:29" x14ac:dyDescent="0.35">
      <c r="L34" s="194">
        <f>L35-0.5%</f>
        <v>6.3E-2</v>
      </c>
      <c r="M34" s="169">
        <v>272.42740515901045</v>
      </c>
      <c r="N34" s="169">
        <v>292.75130150606623</v>
      </c>
      <c r="O34" s="169">
        <v>313.07519785312206</v>
      </c>
      <c r="P34" s="169">
        <v>333.39909420017796</v>
      </c>
      <c r="Q34" s="169">
        <v>353.72299054723374</v>
      </c>
    </row>
    <row r="35" spans="5:29" ht="15" thickBot="1" x14ac:dyDescent="0.4">
      <c r="L35" s="194">
        <f>6.8%</f>
        <v>6.8000000000000005E-2</v>
      </c>
      <c r="M35" s="169">
        <v>265.86331835770926</v>
      </c>
      <c r="N35" s="169">
        <v>285.715901818063</v>
      </c>
      <c r="O35" s="169">
        <v>305.56848527841674</v>
      </c>
      <c r="P35" s="169">
        <v>325.4210687387706</v>
      </c>
      <c r="Q35" s="169">
        <v>345.27365219912423</v>
      </c>
      <c r="Y35" s="111" t="s">
        <v>422</v>
      </c>
      <c r="Z35" s="110"/>
      <c r="AA35" s="154" t="s">
        <v>416</v>
      </c>
      <c r="AB35" s="155" t="s">
        <v>417</v>
      </c>
      <c r="AC35" s="156" t="s">
        <v>418</v>
      </c>
    </row>
    <row r="36" spans="5:29" ht="15" thickBot="1" x14ac:dyDescent="0.4">
      <c r="E36" s="33"/>
      <c r="L36" s="194">
        <f>L35+0.5%</f>
        <v>7.3000000000000009E-2</v>
      </c>
      <c r="M36" s="169">
        <v>259.46882776515997</v>
      </c>
      <c r="N36" s="169">
        <v>278.86315343903277</v>
      </c>
      <c r="O36" s="169">
        <v>298.25747911290563</v>
      </c>
      <c r="P36" s="169">
        <v>317.65180478677848</v>
      </c>
      <c r="Q36" s="169">
        <v>337.04613046065128</v>
      </c>
      <c r="Y36" s="113" t="s">
        <v>423</v>
      </c>
      <c r="Z36" s="112"/>
      <c r="AA36" s="136">
        <f>Forecast_IS!I52</f>
        <v>11897.179593955076</v>
      </c>
      <c r="AB36" s="139">
        <f>Forecast_IS!N52</f>
        <v>13691.16184900537</v>
      </c>
      <c r="AC36" s="142">
        <f>Forecast_IS!S52</f>
        <v>15520.065517986273</v>
      </c>
    </row>
    <row r="37" spans="5:29" ht="15" thickBot="1" x14ac:dyDescent="0.4">
      <c r="H37" s="33"/>
      <c r="L37" s="194">
        <f>L36+0.5%</f>
        <v>7.8000000000000014E-2</v>
      </c>
      <c r="M37" s="169">
        <v>253.23866949119048</v>
      </c>
      <c r="N37" s="169">
        <v>272.18737253178642</v>
      </c>
      <c r="O37" s="169">
        <v>291.13607557238231</v>
      </c>
      <c r="P37" s="169">
        <v>310.08477861297831</v>
      </c>
      <c r="Q37" s="169">
        <v>329.03348165357431</v>
      </c>
      <c r="Y37" s="109" t="s">
        <v>424</v>
      </c>
      <c r="Z37" s="109"/>
      <c r="AA37" s="170">
        <v>6</v>
      </c>
      <c r="AB37" s="170">
        <v>6</v>
      </c>
      <c r="AC37" s="170">
        <v>6</v>
      </c>
    </row>
    <row r="38" spans="5:29" ht="15" thickBot="1" x14ac:dyDescent="0.4">
      <c r="H38" s="33"/>
      <c r="Y38" s="109" t="s">
        <v>393</v>
      </c>
      <c r="Z38" s="109"/>
      <c r="AA38" s="160">
        <f>AA36*AA37</f>
        <v>71383.077563730447</v>
      </c>
      <c r="AB38" s="164">
        <f>AB36*AB37</f>
        <v>82146.971094032226</v>
      </c>
      <c r="AC38" s="168">
        <f>AC36*AC37</f>
        <v>93120.39310791764</v>
      </c>
    </row>
    <row r="39" spans="5:29" ht="15" thickBot="1" x14ac:dyDescent="0.4">
      <c r="Y39" s="107" t="s">
        <v>389</v>
      </c>
      <c r="Z39" s="106"/>
      <c r="AA39" s="171">
        <f>AA38*I14</f>
        <v>51376.189946773913</v>
      </c>
      <c r="AB39" s="172">
        <f>AB38*N14</f>
        <v>59123.233888468807</v>
      </c>
      <c r="AC39" s="173">
        <f>AC38*S14</f>
        <v>67021.080731064721</v>
      </c>
    </row>
    <row r="40" spans="5:29" x14ac:dyDescent="0.35">
      <c r="Y40" s="33"/>
    </row>
    <row r="41" spans="5:29" ht="15" thickBot="1" x14ac:dyDescent="0.4">
      <c r="Y41" s="113" t="s">
        <v>425</v>
      </c>
      <c r="AA41" s="136">
        <f>SUM(E16:I16)</f>
        <v>26159.471733411872</v>
      </c>
      <c r="AB41" s="139">
        <f>SUM(J16:N16)</f>
        <v>32248.872032823514</v>
      </c>
      <c r="AC41" s="142">
        <f>SUM(O16:S16)</f>
        <v>38835.08948980859</v>
      </c>
    </row>
    <row r="42" spans="5:29" ht="15" thickBot="1" x14ac:dyDescent="0.4">
      <c r="Y42" s="178" t="s">
        <v>426</v>
      </c>
      <c r="Z42" s="109"/>
      <c r="AA42" s="175">
        <f>AA39/(AA39+AA41)</f>
        <v>0.66261367780270175</v>
      </c>
      <c r="AB42" s="176">
        <f>AB39/(AB39+AB41)</f>
        <v>0.6470599893954222</v>
      </c>
      <c r="AC42" s="177">
        <f>AC39/(AC39+AC41)</f>
        <v>0.63313343559683333</v>
      </c>
    </row>
    <row r="43" spans="5:29" ht="15" thickBot="1" x14ac:dyDescent="0.4">
      <c r="Y43" s="107" t="s">
        <v>427</v>
      </c>
      <c r="Z43" s="106"/>
      <c r="AA43" s="171">
        <f>AA41+AA39</f>
        <v>77535.661680185789</v>
      </c>
      <c r="AB43" s="172">
        <f>AB41+AB39</f>
        <v>91372.105921292328</v>
      </c>
      <c r="AC43" s="173">
        <f>AC41+AC39</f>
        <v>105856.17022087332</v>
      </c>
    </row>
    <row r="44" spans="5:29" ht="15" thickBot="1" x14ac:dyDescent="0.4">
      <c r="Y44" s="174" t="s">
        <v>428</v>
      </c>
      <c r="AA44" s="136">
        <f>-($J$26+$J$27-$J$25)</f>
        <v>-13724</v>
      </c>
      <c r="AB44" s="139">
        <f>-($J$26+$J$27-$J$25)</f>
        <v>-13724</v>
      </c>
      <c r="AC44" s="142">
        <f>-($J$26+$J$27-$J$25)</f>
        <v>-13724</v>
      </c>
    </row>
    <row r="45" spans="5:29" ht="15" thickBot="1" x14ac:dyDescent="0.4">
      <c r="Y45" s="184" t="s">
        <v>429</v>
      </c>
      <c r="Z45" s="185"/>
      <c r="AA45" s="160">
        <f>-$J$28</f>
        <v>-6167</v>
      </c>
      <c r="AB45" s="164">
        <f>-$J$28</f>
        <v>-6167</v>
      </c>
      <c r="AC45" s="168">
        <f>-$J$28</f>
        <v>-6167</v>
      </c>
    </row>
    <row r="46" spans="5:29" x14ac:dyDescent="0.35">
      <c r="Y46" s="180" t="s">
        <v>430</v>
      </c>
      <c r="Z46" s="106"/>
      <c r="AA46" s="181">
        <f>AA43+AA44+AA45</f>
        <v>57644.661680185789</v>
      </c>
      <c r="AB46" s="182">
        <f>AB43+AB44+AB45</f>
        <v>71481.105921292328</v>
      </c>
      <c r="AC46" s="183">
        <f>AC43+AC44+AC45</f>
        <v>85965.170220873319</v>
      </c>
    </row>
    <row r="47" spans="5:29" ht="15" thickBot="1" x14ac:dyDescent="0.4">
      <c r="Y47" s="178" t="s">
        <v>385</v>
      </c>
      <c r="Z47" s="109"/>
      <c r="AA47" s="108">
        <f>$J$29</f>
        <v>281.31329699999998</v>
      </c>
      <c r="AB47" s="108">
        <f>$J$29</f>
        <v>281.31329699999998</v>
      </c>
      <c r="AC47" s="108">
        <f>$J$29</f>
        <v>281.31329699999998</v>
      </c>
    </row>
    <row r="48" spans="5:29" ht="15" thickBot="1" x14ac:dyDescent="0.4">
      <c r="Y48" s="179" t="s">
        <v>431</v>
      </c>
      <c r="AA48" s="148">
        <f>AA46/AA47</f>
        <v>204.91268025693714</v>
      </c>
      <c r="AB48" s="150">
        <f>AB46/AB47</f>
        <v>254.09785702839469</v>
      </c>
      <c r="AC48" s="153">
        <f>AC46/AC47</f>
        <v>305.58516478825857</v>
      </c>
    </row>
    <row r="49" spans="25:29" x14ac:dyDescent="0.35">
      <c r="Y49" s="186" t="s">
        <v>438</v>
      </c>
      <c r="AA49" s="191">
        <f>AA48/$J$30-1</f>
        <v>3.6011326441868441E-2</v>
      </c>
      <c r="AB49" s="192">
        <f>AB48/$J$30-1</f>
        <v>0.28468505499972041</v>
      </c>
      <c r="AC49" s="194">
        <f>AC48/$J$30-1</f>
        <v>0.54499805242053978</v>
      </c>
    </row>
  </sheetData>
  <mergeCells count="4">
    <mergeCell ref="Y7:Y9"/>
    <mergeCell ref="E2:I2"/>
    <mergeCell ref="J2:N2"/>
    <mergeCell ref="O2:S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sheetPr>
  <dimension ref="A1"/>
  <sheetViews>
    <sheetView workbookViewId="0">
      <selection activeCell="E7" sqref="E7"/>
    </sheetView>
  </sheetViews>
  <sheetFormatPr defaultRowHeight="14.5" x14ac:dyDescent="0.35"/>
  <cols>
    <col min="1" max="2" width="8.7265625" style="42" customWidth="1"/>
    <col min="3" max="16384" width="8.7265625" style="42"/>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8"/>
  <sheetViews>
    <sheetView showGridLines="0" topLeftCell="A19" zoomScale="84" zoomScaleNormal="100" workbookViewId="0">
      <pane xSplit="4" topLeftCell="E1" activePane="topRight" state="frozen"/>
      <selection pane="topRight" activeCell="K4" sqref="K4"/>
    </sheetView>
  </sheetViews>
  <sheetFormatPr defaultRowHeight="14.5" x14ac:dyDescent="0.35"/>
  <cols>
    <col min="4" max="4" width="46.26953125" customWidth="1"/>
  </cols>
  <sheetData>
    <row r="1" spans="1:7" x14ac:dyDescent="0.35">
      <c r="A1" s="285" t="s">
        <v>219</v>
      </c>
      <c r="B1" s="278"/>
      <c r="C1" s="278"/>
      <c r="D1" s="278"/>
      <c r="E1" s="241">
        <v>2023</v>
      </c>
      <c r="F1" s="241">
        <v>2024</v>
      </c>
      <c r="G1" s="241">
        <v>2025</v>
      </c>
    </row>
    <row r="2" spans="1:7" x14ac:dyDescent="0.35">
      <c r="A2" s="278"/>
      <c r="B2" s="278"/>
      <c r="C2" s="278"/>
      <c r="D2" s="278"/>
      <c r="E2" s="241"/>
      <c r="F2" s="241"/>
      <c r="G2" s="241"/>
    </row>
    <row r="3" spans="1:7" x14ac:dyDescent="0.35">
      <c r="A3" s="239"/>
      <c r="B3" s="281" t="s">
        <v>220</v>
      </c>
      <c r="C3" s="282"/>
      <c r="D3" s="282"/>
      <c r="E3" s="239"/>
      <c r="F3" s="239"/>
      <c r="G3" s="239"/>
    </row>
    <row r="4" spans="1:7" x14ac:dyDescent="0.35">
      <c r="A4" s="239"/>
      <c r="B4" s="277" t="s">
        <v>221</v>
      </c>
      <c r="C4" s="278"/>
      <c r="D4" s="278"/>
      <c r="E4" s="242">
        <v>7279</v>
      </c>
      <c r="F4" s="242">
        <v>9067</v>
      </c>
      <c r="G4" s="242">
        <v>11621</v>
      </c>
    </row>
    <row r="5" spans="1:7" x14ac:dyDescent="0.35">
      <c r="A5" s="239"/>
      <c r="B5" s="277" t="s">
        <v>222</v>
      </c>
      <c r="C5" s="278"/>
      <c r="D5" s="278"/>
      <c r="E5" s="243">
        <v>262</v>
      </c>
      <c r="F5" s="243">
        <v>89</v>
      </c>
      <c r="G5" s="243">
        <v>400</v>
      </c>
    </row>
    <row r="6" spans="1:7" x14ac:dyDescent="0.35">
      <c r="A6" s="239"/>
      <c r="B6" s="277" t="s">
        <v>223</v>
      </c>
      <c r="C6" s="278"/>
      <c r="D6" s="278"/>
      <c r="E6" s="243">
        <v>687</v>
      </c>
      <c r="F6" s="243">
        <v>944</v>
      </c>
      <c r="G6" s="243">
        <v>1432</v>
      </c>
    </row>
    <row r="7" spans="1:7" x14ac:dyDescent="0.35">
      <c r="A7" s="239"/>
      <c r="B7" s="277" t="s">
        <v>224</v>
      </c>
      <c r="C7" s="278"/>
      <c r="D7" s="278"/>
      <c r="E7" s="243">
        <v>111</v>
      </c>
      <c r="F7" s="243">
        <v>923</v>
      </c>
      <c r="G7" s="243">
        <v>1476</v>
      </c>
    </row>
    <row r="8" spans="1:7" x14ac:dyDescent="0.35">
      <c r="A8" s="239"/>
      <c r="B8" s="283" t="s">
        <v>225</v>
      </c>
      <c r="C8" s="278"/>
      <c r="D8" s="278"/>
      <c r="E8" s="243">
        <f>SUM(E4:E7)</f>
        <v>8339</v>
      </c>
      <c r="F8" s="243">
        <f>SUM(F4:F7)</f>
        <v>11023</v>
      </c>
      <c r="G8" s="243">
        <f>SUM(G4:G7)</f>
        <v>14929</v>
      </c>
    </row>
    <row r="9" spans="1:7" x14ac:dyDescent="0.35">
      <c r="A9" s="239"/>
      <c r="B9" s="283"/>
      <c r="C9" s="278"/>
      <c r="D9" s="278"/>
      <c r="E9" s="243"/>
      <c r="F9" s="243"/>
      <c r="G9" s="243"/>
    </row>
    <row r="10" spans="1:7" x14ac:dyDescent="0.35">
      <c r="A10" s="239"/>
      <c r="B10" s="281" t="s">
        <v>226</v>
      </c>
      <c r="C10" s="282"/>
      <c r="D10" s="282"/>
      <c r="E10" s="239"/>
      <c r="F10" s="239"/>
      <c r="G10" s="239"/>
    </row>
    <row r="11" spans="1:7" x14ac:dyDescent="0.35">
      <c r="A11" s="239"/>
      <c r="B11" s="277" t="s">
        <v>227</v>
      </c>
      <c r="C11" s="278"/>
      <c r="D11" s="278"/>
      <c r="E11" s="243">
        <v>872</v>
      </c>
      <c r="F11" s="243">
        <v>1286</v>
      </c>
      <c r="G11" s="243">
        <v>1865</v>
      </c>
    </row>
    <row r="12" spans="1:7" x14ac:dyDescent="0.35">
      <c r="A12" s="239"/>
      <c r="B12" s="277" t="s">
        <v>228</v>
      </c>
      <c r="C12" s="278"/>
      <c r="D12" s="278"/>
      <c r="E12" s="243">
        <v>525</v>
      </c>
      <c r="F12" s="243">
        <v>638</v>
      </c>
      <c r="G12" s="243">
        <v>851</v>
      </c>
    </row>
    <row r="13" spans="1:7" x14ac:dyDescent="0.35">
      <c r="A13" s="239"/>
      <c r="B13" s="277" t="s">
        <v>229</v>
      </c>
      <c r="C13" s="278"/>
      <c r="D13" s="278"/>
      <c r="E13" s="243">
        <v>287</v>
      </c>
      <c r="F13" s="243">
        <v>356</v>
      </c>
      <c r="G13" s="243">
        <v>515</v>
      </c>
    </row>
    <row r="14" spans="1:7" x14ac:dyDescent="0.35">
      <c r="A14" s="239"/>
      <c r="B14" s="277" t="s">
        <v>230</v>
      </c>
      <c r="C14" s="278"/>
      <c r="D14" s="278"/>
      <c r="E14" s="243">
        <v>111</v>
      </c>
      <c r="F14" s="243">
        <v>921</v>
      </c>
      <c r="G14" s="243">
        <v>1474</v>
      </c>
    </row>
    <row r="15" spans="1:7" x14ac:dyDescent="0.35">
      <c r="A15" s="239"/>
      <c r="B15" s="283" t="s">
        <v>158</v>
      </c>
      <c r="C15" s="278"/>
      <c r="D15" s="278"/>
      <c r="E15" s="243">
        <f>SUM(E11:E14)</f>
        <v>1795</v>
      </c>
      <c r="F15" s="243">
        <f>SUM(F11:F14)</f>
        <v>3201</v>
      </c>
      <c r="G15" s="243">
        <f>SUM(G11:G14)</f>
        <v>4705</v>
      </c>
    </row>
    <row r="16" spans="1:7" x14ac:dyDescent="0.35">
      <c r="A16" s="239"/>
      <c r="B16" s="283"/>
      <c r="C16" s="278"/>
      <c r="D16" s="278"/>
      <c r="E16" s="243"/>
      <c r="F16" s="243"/>
      <c r="G16" s="243"/>
    </row>
    <row r="17" spans="1:7" x14ac:dyDescent="0.35">
      <c r="A17" s="239"/>
      <c r="B17" s="281" t="s">
        <v>231</v>
      </c>
      <c r="C17" s="282"/>
      <c r="D17" s="282"/>
      <c r="E17" s="243">
        <f>E8-E15</f>
        <v>6544</v>
      </c>
      <c r="F17" s="243">
        <f>F8-F15</f>
        <v>7822</v>
      </c>
      <c r="G17" s="243">
        <f>G8-G15</f>
        <v>10224</v>
      </c>
    </row>
    <row r="18" spans="1:7" x14ac:dyDescent="0.35">
      <c r="A18" s="239"/>
      <c r="B18" s="283"/>
      <c r="C18" s="278"/>
      <c r="D18" s="278"/>
      <c r="E18" s="243"/>
      <c r="F18" s="243"/>
      <c r="G18" s="243"/>
    </row>
    <row r="19" spans="1:7" x14ac:dyDescent="0.35">
      <c r="A19" s="239"/>
      <c r="B19" s="281" t="s">
        <v>232</v>
      </c>
      <c r="C19" s="282"/>
      <c r="D19" s="282"/>
      <c r="E19" s="239"/>
      <c r="F19" s="239"/>
      <c r="G19" s="239"/>
    </row>
    <row r="20" spans="1:7" x14ac:dyDescent="0.35">
      <c r="A20" s="239"/>
      <c r="B20" s="277" t="s">
        <v>233</v>
      </c>
      <c r="C20" s="278"/>
      <c r="D20" s="278"/>
      <c r="E20" s="243">
        <v>73</v>
      </c>
      <c r="F20" s="243">
        <v>43</v>
      </c>
      <c r="G20" s="243">
        <v>97</v>
      </c>
    </row>
    <row r="21" spans="1:7" x14ac:dyDescent="0.35">
      <c r="A21" s="239"/>
      <c r="B21" s="283" t="s">
        <v>234</v>
      </c>
      <c r="C21" s="278"/>
      <c r="D21" s="278"/>
      <c r="E21" s="243">
        <f>SUM(E20)</f>
        <v>73</v>
      </c>
      <c r="F21" s="243">
        <f>SUM(F20)</f>
        <v>43</v>
      </c>
      <c r="G21" s="243">
        <f>SUM(G20)</f>
        <v>97</v>
      </c>
    </row>
    <row r="22" spans="1:7" x14ac:dyDescent="0.35">
      <c r="A22" s="239"/>
      <c r="B22" s="293"/>
      <c r="C22" s="278"/>
      <c r="D22" s="278"/>
      <c r="E22" s="243"/>
      <c r="F22" s="243"/>
      <c r="G22" s="243"/>
    </row>
    <row r="23" spans="1:7" x14ac:dyDescent="0.35">
      <c r="A23" s="239"/>
      <c r="B23" s="281" t="s">
        <v>235</v>
      </c>
      <c r="C23" s="282"/>
      <c r="D23" s="282"/>
      <c r="E23" s="239"/>
      <c r="F23" s="239"/>
      <c r="G23" s="239"/>
    </row>
    <row r="24" spans="1:7" x14ac:dyDescent="0.35">
      <c r="A24" s="239"/>
      <c r="B24" s="277" t="s">
        <v>236</v>
      </c>
      <c r="C24" s="278"/>
      <c r="D24" s="278"/>
      <c r="E24" s="243">
        <v>1746</v>
      </c>
      <c r="F24" s="243">
        <v>2850</v>
      </c>
      <c r="G24" s="243">
        <v>5038</v>
      </c>
    </row>
    <row r="25" spans="1:7" x14ac:dyDescent="0.35">
      <c r="A25" s="239"/>
      <c r="B25" s="277" t="s">
        <v>237</v>
      </c>
      <c r="C25" s="278"/>
      <c r="D25" s="278"/>
      <c r="E25" s="245" t="s">
        <v>238</v>
      </c>
      <c r="F25" s="245" t="s">
        <v>238</v>
      </c>
      <c r="G25" s="243">
        <v>3652</v>
      </c>
    </row>
    <row r="26" spans="1:7" x14ac:dyDescent="0.35">
      <c r="A26" s="239"/>
      <c r="B26" s="277" t="s">
        <v>239</v>
      </c>
      <c r="C26" s="278"/>
      <c r="D26" s="278"/>
      <c r="E26" s="243">
        <v>150</v>
      </c>
      <c r="F26" s="243">
        <v>213</v>
      </c>
      <c r="G26" s="243">
        <v>288</v>
      </c>
    </row>
    <row r="27" spans="1:7" x14ac:dyDescent="0.35">
      <c r="A27" s="239"/>
      <c r="B27" s="277" t="s">
        <v>240</v>
      </c>
      <c r="C27" s="278"/>
      <c r="D27" s="278"/>
      <c r="E27" s="243">
        <v>151</v>
      </c>
      <c r="F27" s="243">
        <v>406</v>
      </c>
      <c r="G27" s="243">
        <v>77</v>
      </c>
    </row>
    <row r="28" spans="1:7" x14ac:dyDescent="0.35">
      <c r="A28" s="239"/>
      <c r="B28" s="283" t="s">
        <v>160</v>
      </c>
      <c r="C28" s="278"/>
      <c r="D28" s="278"/>
      <c r="E28" s="243">
        <f>SUM(E24:E27)</f>
        <v>2047</v>
      </c>
      <c r="F28" s="243">
        <f>SUM(F24:F27)</f>
        <v>3469</v>
      </c>
      <c r="G28" s="243">
        <f>SUM(G24:G27)</f>
        <v>9055</v>
      </c>
    </row>
    <row r="29" spans="1:7" x14ac:dyDescent="0.35">
      <c r="A29" s="239"/>
      <c r="B29" s="293"/>
      <c r="C29" s="278"/>
      <c r="D29" s="278"/>
      <c r="E29" s="243"/>
      <c r="F29" s="243"/>
      <c r="G29" s="243"/>
    </row>
    <row r="30" spans="1:7" x14ac:dyDescent="0.35">
      <c r="A30" s="239"/>
      <c r="B30" s="281" t="s">
        <v>241</v>
      </c>
      <c r="C30" s="282"/>
      <c r="D30" s="282"/>
      <c r="E30" s="243">
        <f>E17+E21-E28</f>
        <v>4570</v>
      </c>
      <c r="F30" s="243">
        <f>F17+F21-F28</f>
        <v>4396</v>
      </c>
      <c r="G30" s="243">
        <f>G17+G21-G28</f>
        <v>1266</v>
      </c>
    </row>
    <row r="31" spans="1:7" x14ac:dyDescent="0.35">
      <c r="A31" s="239"/>
      <c r="B31" s="293"/>
      <c r="C31" s="278"/>
      <c r="D31" s="278"/>
      <c r="E31" s="243"/>
      <c r="F31" s="243"/>
      <c r="G31" s="243"/>
    </row>
    <row r="32" spans="1:7" x14ac:dyDescent="0.35">
      <c r="A32" s="239"/>
      <c r="B32" s="281" t="s">
        <v>242</v>
      </c>
      <c r="C32" s="282"/>
      <c r="D32" s="282"/>
      <c r="E32" s="246">
        <v>-159</v>
      </c>
      <c r="F32" s="246">
        <v>-135</v>
      </c>
      <c r="G32" s="246">
        <v>-244</v>
      </c>
    </row>
    <row r="33" spans="1:7" x14ac:dyDescent="0.35">
      <c r="A33" s="239"/>
      <c r="B33" s="244"/>
      <c r="C33" s="244"/>
      <c r="D33" s="244"/>
      <c r="E33" s="246"/>
      <c r="F33" s="246"/>
      <c r="G33" s="246"/>
    </row>
    <row r="34" spans="1:7" x14ac:dyDescent="0.35">
      <c r="A34" s="239"/>
      <c r="B34" s="281" t="s">
        <v>243</v>
      </c>
      <c r="C34" s="282"/>
      <c r="D34" s="282"/>
      <c r="E34" s="243"/>
      <c r="F34" s="243"/>
      <c r="G34" s="243"/>
    </row>
    <row r="35" spans="1:7" x14ac:dyDescent="0.35">
      <c r="A35" s="239"/>
      <c r="B35" s="277" t="s">
        <v>244</v>
      </c>
      <c r="C35" s="278"/>
      <c r="D35" s="278"/>
      <c r="E35" s="243">
        <v>100</v>
      </c>
      <c r="F35" s="243">
        <v>101</v>
      </c>
      <c r="G35" s="243">
        <v>455</v>
      </c>
    </row>
    <row r="36" spans="1:7" x14ac:dyDescent="0.35">
      <c r="A36" s="239"/>
      <c r="B36" s="277" t="s">
        <v>245</v>
      </c>
      <c r="C36" s="278"/>
      <c r="D36" s="278"/>
      <c r="E36" s="246">
        <v>-259</v>
      </c>
      <c r="F36" s="243">
        <v>137</v>
      </c>
      <c r="G36" s="243">
        <v>341</v>
      </c>
    </row>
    <row r="37" spans="1:7" x14ac:dyDescent="0.35">
      <c r="A37" s="239"/>
      <c r="B37" s="277" t="s">
        <v>246</v>
      </c>
      <c r="C37" s="278"/>
      <c r="D37" s="278"/>
      <c r="E37" s="246">
        <v>-4</v>
      </c>
      <c r="F37" s="243">
        <v>2</v>
      </c>
      <c r="G37" s="243">
        <v>56</v>
      </c>
    </row>
    <row r="38" spans="1:7" x14ac:dyDescent="0.35">
      <c r="A38" s="239"/>
      <c r="B38" s="283" t="s">
        <v>247</v>
      </c>
      <c r="C38" s="278"/>
      <c r="D38" s="278"/>
      <c r="E38" s="246">
        <f>SUM(E35:E37)</f>
        <v>-163</v>
      </c>
      <c r="F38" s="243">
        <f>SUM(F35:F37)</f>
        <v>240</v>
      </c>
      <c r="G38" s="243">
        <f>SUM(G35:G37)</f>
        <v>852</v>
      </c>
    </row>
    <row r="39" spans="1:7" x14ac:dyDescent="0.35">
      <c r="A39" s="239"/>
      <c r="B39" s="293"/>
      <c r="C39" s="278"/>
      <c r="D39" s="278"/>
      <c r="E39" s="243"/>
      <c r="F39" s="243"/>
      <c r="G39" s="243"/>
    </row>
    <row r="40" spans="1:7" x14ac:dyDescent="0.35">
      <c r="A40" s="239"/>
      <c r="B40" s="281" t="s">
        <v>248</v>
      </c>
      <c r="C40" s="282"/>
      <c r="D40" s="282"/>
      <c r="E40" s="243">
        <f>E30+E32+E38</f>
        <v>4248</v>
      </c>
      <c r="F40" s="243">
        <f>F30+F32+F38</f>
        <v>4501</v>
      </c>
      <c r="G40" s="243">
        <f>G30+G32+G38</f>
        <v>1874</v>
      </c>
    </row>
    <row r="41" spans="1:7" x14ac:dyDescent="0.35">
      <c r="A41" s="239"/>
      <c r="B41" s="293"/>
      <c r="C41" s="278"/>
      <c r="D41" s="278"/>
      <c r="E41" s="243"/>
      <c r="F41" s="243"/>
      <c r="G41" s="243"/>
    </row>
    <row r="42" spans="1:7" x14ac:dyDescent="0.35">
      <c r="A42" s="239"/>
      <c r="B42" s="281" t="s">
        <v>165</v>
      </c>
      <c r="C42" s="282"/>
      <c r="D42" s="282"/>
      <c r="E42" s="243">
        <v>912</v>
      </c>
      <c r="F42" s="243">
        <v>800</v>
      </c>
      <c r="G42" s="243">
        <v>327</v>
      </c>
    </row>
    <row r="43" spans="1:7" x14ac:dyDescent="0.35">
      <c r="A43" s="239"/>
      <c r="B43" s="293"/>
      <c r="C43" s="278"/>
      <c r="D43" s="278"/>
      <c r="E43" s="243"/>
      <c r="F43" s="243"/>
      <c r="G43" s="243"/>
    </row>
    <row r="44" spans="1:7" x14ac:dyDescent="0.35">
      <c r="A44" s="239"/>
      <c r="B44" s="281" t="s">
        <v>249</v>
      </c>
      <c r="C44" s="282"/>
      <c r="D44" s="282"/>
      <c r="E44" s="243">
        <f>E40-E42</f>
        <v>3336</v>
      </c>
      <c r="F44" s="243">
        <f>F40-F42</f>
        <v>3701</v>
      </c>
      <c r="G44" s="243">
        <f>G40-G42</f>
        <v>1547</v>
      </c>
    </row>
    <row r="45" spans="1:7" x14ac:dyDescent="0.35">
      <c r="A45" s="239"/>
      <c r="B45" s="294" t="s">
        <v>250</v>
      </c>
      <c r="C45" s="278"/>
      <c r="D45" s="278"/>
      <c r="E45" s="243">
        <v>193</v>
      </c>
      <c r="F45" s="243">
        <v>363</v>
      </c>
      <c r="G45" s="246">
        <v>-117</v>
      </c>
    </row>
    <row r="46" spans="1:7" x14ac:dyDescent="0.35">
      <c r="A46" s="239"/>
      <c r="B46" s="283" t="s">
        <v>251</v>
      </c>
      <c r="C46" s="278"/>
      <c r="D46" s="278"/>
      <c r="E46" s="242">
        <f>E44-E45</f>
        <v>3143</v>
      </c>
      <c r="F46" s="242">
        <f>F44-F45</f>
        <v>3338</v>
      </c>
      <c r="G46" s="242">
        <f>G44-G45</f>
        <v>1664</v>
      </c>
    </row>
    <row r="47" spans="1:7" x14ac:dyDescent="0.35">
      <c r="A47" s="239"/>
      <c r="B47" s="293"/>
      <c r="C47" s="278"/>
      <c r="D47" s="278"/>
      <c r="E47" s="243"/>
      <c r="F47" s="243"/>
      <c r="G47" s="243"/>
    </row>
    <row r="48" spans="1:7" x14ac:dyDescent="0.35">
      <c r="A48" s="239"/>
      <c r="B48" s="281" t="s">
        <v>252</v>
      </c>
      <c r="C48" s="282"/>
      <c r="D48" s="282"/>
      <c r="E48" s="239"/>
      <c r="F48" s="239"/>
      <c r="G48" s="239"/>
    </row>
    <row r="49" spans="1:7" x14ac:dyDescent="0.35">
      <c r="A49" s="239"/>
      <c r="B49" s="277" t="s">
        <v>253</v>
      </c>
      <c r="C49" s="278"/>
      <c r="D49" s="278"/>
      <c r="E49" s="247">
        <v>17.34</v>
      </c>
      <c r="F49" s="247">
        <v>15.53</v>
      </c>
      <c r="G49" s="247">
        <v>5.73</v>
      </c>
    </row>
    <row r="50" spans="1:7" x14ac:dyDescent="0.35">
      <c r="A50" s="239"/>
      <c r="B50" s="277" t="s">
        <v>254</v>
      </c>
      <c r="C50" s="278"/>
      <c r="D50" s="278"/>
      <c r="E50" s="247">
        <v>17.34</v>
      </c>
      <c r="F50" s="247">
        <v>15.53</v>
      </c>
      <c r="G50" s="247">
        <v>5.73</v>
      </c>
    </row>
    <row r="51" spans="1:7" x14ac:dyDescent="0.35">
      <c r="A51" s="239"/>
      <c r="B51" s="245"/>
      <c r="C51" s="245"/>
      <c r="D51" s="245"/>
      <c r="E51" s="247"/>
      <c r="F51" s="247"/>
      <c r="G51" s="247"/>
    </row>
    <row r="52" spans="1:7" x14ac:dyDescent="0.35">
      <c r="A52" s="239"/>
      <c r="B52" s="281" t="s">
        <v>255</v>
      </c>
      <c r="C52" s="282"/>
      <c r="D52" s="282"/>
      <c r="E52" s="239"/>
      <c r="F52" s="239"/>
      <c r="G52" s="239"/>
    </row>
    <row r="53" spans="1:7" x14ac:dyDescent="0.35">
      <c r="A53" s="239"/>
      <c r="B53" s="277" t="s">
        <v>253</v>
      </c>
      <c r="C53" s="278"/>
      <c r="D53" s="278"/>
      <c r="E53" s="243">
        <v>179999</v>
      </c>
      <c r="F53" s="243">
        <v>213545</v>
      </c>
      <c r="G53" s="243">
        <v>289079</v>
      </c>
    </row>
    <row r="54" spans="1:7" x14ac:dyDescent="0.35">
      <c r="A54" s="239"/>
      <c r="B54" s="277" t="s">
        <v>254</v>
      </c>
      <c r="C54" s="278"/>
      <c r="D54" s="278"/>
      <c r="E54" s="243">
        <v>179999</v>
      </c>
      <c r="F54" s="243">
        <v>213545</v>
      </c>
      <c r="G54" s="243">
        <v>289079</v>
      </c>
    </row>
    <row r="55" spans="1:7" x14ac:dyDescent="0.35">
      <c r="A55" s="239"/>
      <c r="B55" s="245"/>
      <c r="C55" s="245"/>
      <c r="D55" s="245"/>
      <c r="E55" s="243"/>
      <c r="F55" s="243"/>
      <c r="G55" s="243"/>
    </row>
    <row r="56" spans="1:7" x14ac:dyDescent="0.35">
      <c r="A56" s="239"/>
      <c r="B56" s="281" t="s">
        <v>256</v>
      </c>
      <c r="C56" s="282"/>
      <c r="D56" s="282"/>
      <c r="E56" s="239"/>
      <c r="F56" s="239"/>
      <c r="G56" s="239"/>
    </row>
    <row r="57" spans="1:7" x14ac:dyDescent="0.35">
      <c r="A57" s="239"/>
      <c r="B57" s="277" t="s">
        <v>257</v>
      </c>
      <c r="C57" s="278"/>
      <c r="D57" s="278"/>
      <c r="E57" s="246">
        <v>-1</v>
      </c>
      <c r="F57" s="243">
        <v>2</v>
      </c>
      <c r="G57" s="246">
        <v>-1</v>
      </c>
    </row>
    <row r="58" spans="1:7" x14ac:dyDescent="0.35">
      <c r="A58" s="239"/>
      <c r="B58" s="283" t="s">
        <v>258</v>
      </c>
      <c r="C58" s="278"/>
      <c r="D58" s="278"/>
      <c r="E58" s="242">
        <f>E46+E57</f>
        <v>3142</v>
      </c>
      <c r="F58" s="242">
        <f>F46+F57</f>
        <v>3340</v>
      </c>
      <c r="G58" s="242">
        <f>G46+G57</f>
        <v>1663</v>
      </c>
    </row>
  </sheetData>
  <mergeCells count="54">
    <mergeCell ref="B9:D9"/>
    <mergeCell ref="B11:D11"/>
    <mergeCell ref="B42:D42"/>
    <mergeCell ref="A1:D2"/>
    <mergeCell ref="B14:D14"/>
    <mergeCell ref="B23:D23"/>
    <mergeCell ref="B30:D30"/>
    <mergeCell ref="B15:D15"/>
    <mergeCell ref="B6:D6"/>
    <mergeCell ref="B24:D24"/>
    <mergeCell ref="B20:D20"/>
    <mergeCell ref="B5:D5"/>
    <mergeCell ref="B36:D36"/>
    <mergeCell ref="B10:D10"/>
    <mergeCell ref="B28:D28"/>
    <mergeCell ref="B19:D19"/>
    <mergeCell ref="B13:D13"/>
    <mergeCell ref="B53:D53"/>
    <mergeCell ref="B44:D44"/>
    <mergeCell ref="B29:D29"/>
    <mergeCell ref="B38:D38"/>
    <mergeCell ref="B34:D34"/>
    <mergeCell ref="B16:D16"/>
    <mergeCell ref="B3:D3"/>
    <mergeCell ref="B31:D31"/>
    <mergeCell ref="B46:D46"/>
    <mergeCell ref="B22:D22"/>
    <mergeCell ref="B12:D12"/>
    <mergeCell ref="B45:D45"/>
    <mergeCell ref="B41:D41"/>
    <mergeCell ref="B35:D35"/>
    <mergeCell ref="B4:D4"/>
    <mergeCell ref="B26:D26"/>
    <mergeCell ref="B32:D32"/>
    <mergeCell ref="B7:D7"/>
    <mergeCell ref="B25:D25"/>
    <mergeCell ref="B8:D8"/>
    <mergeCell ref="B17:D17"/>
    <mergeCell ref="B37:D37"/>
    <mergeCell ref="B58:D58"/>
    <mergeCell ref="B18:D18"/>
    <mergeCell ref="B56:D56"/>
    <mergeCell ref="B52:D52"/>
    <mergeCell ref="B21:D21"/>
    <mergeCell ref="B27:D27"/>
    <mergeCell ref="B43:D43"/>
    <mergeCell ref="B39:D39"/>
    <mergeCell ref="B48:D48"/>
    <mergeCell ref="B54:D54"/>
    <mergeCell ref="B50:D50"/>
    <mergeCell ref="B47:D47"/>
    <mergeCell ref="B57:D57"/>
    <mergeCell ref="B49:D49"/>
    <mergeCell ref="B40:D40"/>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8"/>
  <sheetViews>
    <sheetView showGridLines="0" zoomScale="85" workbookViewId="0">
      <pane xSplit="4" topLeftCell="E1" activePane="topRight" state="frozen"/>
      <selection pane="topRight" activeCell="L10" sqref="L10"/>
    </sheetView>
  </sheetViews>
  <sheetFormatPr defaultRowHeight="14.5" x14ac:dyDescent="0.35"/>
  <cols>
    <col min="4" max="4" width="59.90625" customWidth="1"/>
    <col min="5" max="7" width="9.1796875" bestFit="1" customWidth="1"/>
  </cols>
  <sheetData>
    <row r="1" spans="1:8" x14ac:dyDescent="0.35">
      <c r="A1" s="285" t="s">
        <v>259</v>
      </c>
      <c r="B1" s="278"/>
      <c r="C1" s="278"/>
      <c r="D1" s="278"/>
      <c r="E1" s="241">
        <v>2023</v>
      </c>
      <c r="F1" s="241">
        <v>2024</v>
      </c>
      <c r="G1" s="241">
        <v>2025</v>
      </c>
    </row>
    <row r="2" spans="1:8" x14ac:dyDescent="0.35">
      <c r="A2" s="278"/>
      <c r="B2" s="278"/>
      <c r="C2" s="278"/>
      <c r="D2" s="278"/>
      <c r="E2" s="241"/>
      <c r="F2" s="241"/>
      <c r="G2" s="241"/>
    </row>
    <row r="3" spans="1:8" x14ac:dyDescent="0.35">
      <c r="A3" s="239"/>
      <c r="B3" s="280" t="s">
        <v>260</v>
      </c>
      <c r="C3" s="278"/>
      <c r="D3" s="278"/>
      <c r="E3" s="248"/>
      <c r="F3" s="239"/>
      <c r="G3" s="239"/>
    </row>
    <row r="4" spans="1:8" x14ac:dyDescent="0.35">
      <c r="A4" s="239"/>
      <c r="B4" s="281" t="s">
        <v>261</v>
      </c>
      <c r="C4" s="282"/>
      <c r="D4" s="282"/>
      <c r="E4" s="243"/>
      <c r="F4" s="239"/>
      <c r="G4" s="239"/>
    </row>
    <row r="5" spans="1:8" x14ac:dyDescent="0.35">
      <c r="A5" s="239"/>
      <c r="B5" s="277" t="s">
        <v>262</v>
      </c>
      <c r="C5" s="278"/>
      <c r="D5" s="278"/>
      <c r="E5" s="242">
        <v>582</v>
      </c>
      <c r="F5" s="242">
        <v>161</v>
      </c>
      <c r="G5" s="242">
        <v>104</v>
      </c>
    </row>
    <row r="6" spans="1:8" x14ac:dyDescent="0.35">
      <c r="A6" s="239"/>
      <c r="B6" s="277" t="s">
        <v>263</v>
      </c>
      <c r="C6" s="278"/>
      <c r="D6" s="278"/>
      <c r="E6" s="243">
        <v>3</v>
      </c>
      <c r="F6" s="243">
        <v>3</v>
      </c>
      <c r="G6" s="243">
        <v>2</v>
      </c>
    </row>
    <row r="7" spans="1:8" x14ac:dyDescent="0.35">
      <c r="A7" s="239"/>
      <c r="B7" s="277" t="s">
        <v>264</v>
      </c>
      <c r="C7" s="278"/>
      <c r="D7" s="278"/>
      <c r="E7" s="243"/>
      <c r="F7" s="239"/>
      <c r="G7" s="239"/>
    </row>
    <row r="8" spans="1:8" x14ac:dyDescent="0.35">
      <c r="A8" s="239"/>
      <c r="B8" s="279" t="s">
        <v>265</v>
      </c>
      <c r="C8" s="278"/>
      <c r="D8" s="278"/>
      <c r="E8" s="243">
        <v>192</v>
      </c>
      <c r="F8" s="243">
        <v>198</v>
      </c>
      <c r="G8" s="243">
        <v>258</v>
      </c>
    </row>
    <row r="9" spans="1:8" x14ac:dyDescent="0.35">
      <c r="A9" s="239"/>
      <c r="B9" s="279" t="s">
        <v>266</v>
      </c>
      <c r="C9" s="278"/>
      <c r="D9" s="278"/>
      <c r="E9" s="243">
        <v>654</v>
      </c>
      <c r="F9" s="243">
        <v>1387</v>
      </c>
      <c r="G9" s="243">
        <v>1128</v>
      </c>
    </row>
    <row r="10" spans="1:8" x14ac:dyDescent="0.35">
      <c r="A10" s="239"/>
      <c r="B10" s="277" t="s">
        <v>181</v>
      </c>
      <c r="C10" s="278"/>
      <c r="D10" s="278"/>
      <c r="E10" s="243">
        <v>63</v>
      </c>
      <c r="F10" s="243">
        <v>116</v>
      </c>
      <c r="G10" s="243">
        <v>86</v>
      </c>
    </row>
    <row r="11" spans="1:8" x14ac:dyDescent="0.35">
      <c r="A11" s="239"/>
      <c r="B11" s="277" t="s">
        <v>267</v>
      </c>
      <c r="C11" s="278"/>
      <c r="D11" s="278"/>
      <c r="E11" s="243">
        <f>17+110</f>
        <v>127</v>
      </c>
      <c r="F11" s="243">
        <v>245</v>
      </c>
      <c r="G11" s="243">
        <v>337</v>
      </c>
    </row>
    <row r="12" spans="1:8" x14ac:dyDescent="0.35">
      <c r="A12" s="239"/>
      <c r="B12" s="283" t="s">
        <v>268</v>
      </c>
      <c r="C12" s="278"/>
      <c r="D12" s="278"/>
      <c r="E12" s="243">
        <f>SUM(E5:E11)</f>
        <v>1621</v>
      </c>
      <c r="F12" s="243">
        <v>2110</v>
      </c>
      <c r="G12" s="243">
        <v>1915</v>
      </c>
    </row>
    <row r="13" spans="1:8" x14ac:dyDescent="0.35">
      <c r="A13" s="239"/>
      <c r="B13" s="281" t="s">
        <v>269</v>
      </c>
      <c r="C13" s="282"/>
      <c r="D13" s="282"/>
      <c r="E13" s="243"/>
      <c r="F13" s="239"/>
      <c r="G13" s="239"/>
    </row>
    <row r="14" spans="1:8" x14ac:dyDescent="0.35">
      <c r="A14" s="239"/>
      <c r="B14" s="277" t="s">
        <v>270</v>
      </c>
      <c r="C14" s="278"/>
      <c r="D14" s="278"/>
      <c r="E14" s="243">
        <v>42430</v>
      </c>
      <c r="F14" s="243">
        <v>82240</v>
      </c>
      <c r="G14" s="243">
        <v>95529</v>
      </c>
      <c r="H14" s="1"/>
    </row>
    <row r="15" spans="1:8" x14ac:dyDescent="0.35">
      <c r="A15" s="239"/>
      <c r="B15" s="277" t="s">
        <v>271</v>
      </c>
      <c r="C15" s="278"/>
      <c r="D15" s="278"/>
      <c r="E15" s="243">
        <v>673</v>
      </c>
      <c r="F15" s="243">
        <v>1440</v>
      </c>
      <c r="G15" s="243">
        <v>874</v>
      </c>
    </row>
    <row r="16" spans="1:8" x14ac:dyDescent="0.35">
      <c r="A16" s="239"/>
      <c r="B16" s="279" t="s">
        <v>463</v>
      </c>
      <c r="C16" s="278"/>
      <c r="D16" s="278"/>
      <c r="E16" s="246">
        <v>-16429</v>
      </c>
      <c r="F16" s="246">
        <v>-19208</v>
      </c>
      <c r="G16" s="246">
        <v>-27782</v>
      </c>
    </row>
    <row r="17" spans="1:7" x14ac:dyDescent="0.35">
      <c r="A17" s="239"/>
      <c r="B17" s="284" t="s">
        <v>272</v>
      </c>
      <c r="C17" s="278"/>
      <c r="D17" s="278"/>
      <c r="E17" s="243">
        <f>E14+E15+E16</f>
        <v>26674</v>
      </c>
      <c r="F17" s="243">
        <f>F14+F15+F16</f>
        <v>64472</v>
      </c>
      <c r="G17" s="243">
        <f>G14+G15+G16</f>
        <v>68621</v>
      </c>
    </row>
    <row r="18" spans="1:7" x14ac:dyDescent="0.35">
      <c r="A18" s="239"/>
      <c r="B18" s="277" t="s">
        <v>273</v>
      </c>
      <c r="C18" s="278"/>
      <c r="D18" s="278"/>
      <c r="E18" s="243">
        <v>706</v>
      </c>
      <c r="F18" s="243">
        <v>710</v>
      </c>
      <c r="G18" s="243">
        <v>523</v>
      </c>
    </row>
    <row r="19" spans="1:7" x14ac:dyDescent="0.35">
      <c r="A19" s="239"/>
      <c r="B19" s="283" t="s">
        <v>274</v>
      </c>
      <c r="C19" s="278"/>
      <c r="D19" s="278"/>
      <c r="E19" s="242">
        <f>E17+E18+E12</f>
        <v>29001</v>
      </c>
      <c r="F19" s="242">
        <f>F17+F18+F12</f>
        <v>67292</v>
      </c>
      <c r="G19" s="242">
        <f>G17+G18+G12</f>
        <v>71059</v>
      </c>
    </row>
    <row r="20" spans="1:7" x14ac:dyDescent="0.35">
      <c r="A20" s="239"/>
      <c r="B20" s="283"/>
      <c r="C20" s="278"/>
      <c r="D20" s="278"/>
      <c r="E20" s="243"/>
      <c r="F20" s="239"/>
      <c r="G20" s="239"/>
    </row>
    <row r="21" spans="1:7" x14ac:dyDescent="0.35">
      <c r="A21" s="239"/>
      <c r="B21" s="280" t="s">
        <v>275</v>
      </c>
      <c r="C21" s="278"/>
      <c r="D21" s="278"/>
      <c r="E21" s="243"/>
      <c r="F21" s="240"/>
      <c r="G21" s="239"/>
    </row>
    <row r="22" spans="1:7" x14ac:dyDescent="0.35">
      <c r="A22" s="239"/>
      <c r="B22" s="281" t="s">
        <v>276</v>
      </c>
      <c r="C22" s="282"/>
      <c r="D22" s="282"/>
      <c r="E22" s="243"/>
      <c r="F22" s="239"/>
      <c r="G22" s="239"/>
    </row>
    <row r="23" spans="1:7" x14ac:dyDescent="0.35">
      <c r="A23" s="239"/>
      <c r="B23" s="277" t="s">
        <v>277</v>
      </c>
      <c r="C23" s="278"/>
      <c r="D23" s="278"/>
      <c r="E23" s="242">
        <v>754</v>
      </c>
      <c r="F23" s="242">
        <v>943</v>
      </c>
      <c r="G23" s="242">
        <v>1168</v>
      </c>
    </row>
    <row r="24" spans="1:7" x14ac:dyDescent="0.35">
      <c r="A24" s="239"/>
      <c r="B24" s="277" t="s">
        <v>278</v>
      </c>
      <c r="C24" s="278"/>
      <c r="D24" s="278"/>
      <c r="E24" s="245">
        <v>0</v>
      </c>
      <c r="F24" s="243">
        <v>900</v>
      </c>
      <c r="G24" s="243">
        <v>763</v>
      </c>
    </row>
    <row r="25" spans="1:7" x14ac:dyDescent="0.35">
      <c r="A25" s="239"/>
      <c r="B25" s="277" t="s">
        <v>279</v>
      </c>
      <c r="C25" s="278"/>
      <c r="D25" s="278"/>
      <c r="E25" s="243">
        <v>475</v>
      </c>
      <c r="F25" s="243">
        <v>1020</v>
      </c>
      <c r="G25" s="243">
        <v>1108</v>
      </c>
    </row>
    <row r="26" spans="1:7" x14ac:dyDescent="0.35">
      <c r="A26" s="239"/>
      <c r="B26" s="277" t="s">
        <v>280</v>
      </c>
      <c r="C26" s="278"/>
      <c r="D26" s="278"/>
      <c r="E26" s="243">
        <v>764</v>
      </c>
      <c r="F26" s="243">
        <v>1491</v>
      </c>
      <c r="G26" s="243">
        <v>1397</v>
      </c>
    </row>
    <row r="27" spans="1:7" x14ac:dyDescent="0.35">
      <c r="A27" s="239"/>
      <c r="B27" s="277" t="s">
        <v>281</v>
      </c>
      <c r="C27" s="278"/>
      <c r="D27" s="278"/>
      <c r="E27" s="243">
        <v>86</v>
      </c>
      <c r="F27" s="243">
        <v>43</v>
      </c>
      <c r="G27" s="243">
        <v>15</v>
      </c>
    </row>
    <row r="28" spans="1:7" x14ac:dyDescent="0.35">
      <c r="A28" s="239"/>
      <c r="B28" s="277" t="s">
        <v>282</v>
      </c>
      <c r="C28" s="278"/>
      <c r="D28" s="278"/>
      <c r="E28" s="243">
        <v>29</v>
      </c>
      <c r="F28" s="243">
        <v>414</v>
      </c>
      <c r="G28" s="243">
        <v>149</v>
      </c>
    </row>
    <row r="29" spans="1:7" x14ac:dyDescent="0.35">
      <c r="A29" s="239"/>
      <c r="B29" s="281" t="s">
        <v>283</v>
      </c>
      <c r="C29" s="282"/>
      <c r="D29" s="282"/>
      <c r="E29" s="243">
        <f>SUM(E23:E28)</f>
        <v>2108</v>
      </c>
      <c r="F29" s="243">
        <f>SUM(F23:F28)</f>
        <v>4811</v>
      </c>
      <c r="G29" s="243">
        <f>SUM(G23:G28)</f>
        <v>4600</v>
      </c>
    </row>
    <row r="30" spans="1:7" x14ac:dyDescent="0.35">
      <c r="A30" s="239"/>
      <c r="B30" s="277" t="s">
        <v>284</v>
      </c>
      <c r="C30" s="278"/>
      <c r="D30" s="278"/>
      <c r="E30" s="243">
        <v>6641</v>
      </c>
      <c r="F30" s="243">
        <v>12075</v>
      </c>
      <c r="G30" s="243">
        <v>13726</v>
      </c>
    </row>
    <row r="31" spans="1:7" x14ac:dyDescent="0.35">
      <c r="A31" s="239"/>
      <c r="B31" s="277" t="s">
        <v>285</v>
      </c>
      <c r="C31" s="278"/>
      <c r="D31" s="278"/>
      <c r="E31" s="243">
        <v>2449</v>
      </c>
      <c r="F31" s="243">
        <v>9826</v>
      </c>
      <c r="G31" s="243">
        <v>9141</v>
      </c>
    </row>
    <row r="32" spans="1:7" x14ac:dyDescent="0.35">
      <c r="A32" s="239"/>
      <c r="B32" s="277" t="s">
        <v>286</v>
      </c>
      <c r="C32" s="278"/>
      <c r="D32" s="278"/>
      <c r="E32" s="243">
        <v>373</v>
      </c>
      <c r="F32" s="243">
        <v>718</v>
      </c>
      <c r="G32" s="243">
        <v>625</v>
      </c>
    </row>
    <row r="33" spans="1:7" x14ac:dyDescent="0.35">
      <c r="A33" s="239"/>
      <c r="B33" s="283" t="s">
        <v>287</v>
      </c>
      <c r="C33" s="278"/>
      <c r="D33" s="278"/>
      <c r="E33" s="243">
        <f>SUM(E29:E32)</f>
        <v>11571</v>
      </c>
      <c r="F33" s="243">
        <f>SUM(F29:F32)</f>
        <v>27430</v>
      </c>
      <c r="G33" s="243">
        <f>SUM(G29:G32)</f>
        <v>28092</v>
      </c>
    </row>
    <row r="34" spans="1:7" x14ac:dyDescent="0.35">
      <c r="A34" s="239"/>
      <c r="B34" s="283"/>
      <c r="C34" s="278"/>
      <c r="D34" s="278"/>
      <c r="E34" s="243"/>
      <c r="F34" s="243"/>
      <c r="G34" s="245"/>
    </row>
    <row r="35" spans="1:7" x14ac:dyDescent="0.35">
      <c r="A35" s="239"/>
      <c r="B35" s="281" t="s">
        <v>288</v>
      </c>
      <c r="C35" s="282"/>
      <c r="D35" s="282"/>
      <c r="E35" s="243"/>
      <c r="F35" s="239"/>
      <c r="G35" s="239"/>
    </row>
    <row r="36" spans="1:7" x14ac:dyDescent="0.35">
      <c r="A36" s="239"/>
      <c r="B36" s="277" t="s">
        <v>462</v>
      </c>
      <c r="C36" s="278"/>
      <c r="D36" s="278"/>
      <c r="E36" s="243">
        <v>2</v>
      </c>
      <c r="F36" s="243">
        <v>3</v>
      </c>
      <c r="G36" s="243">
        <v>3</v>
      </c>
    </row>
    <row r="37" spans="1:7" x14ac:dyDescent="0.35">
      <c r="A37" s="239"/>
      <c r="B37" s="277" t="s">
        <v>289</v>
      </c>
      <c r="C37" s="278"/>
      <c r="D37" s="278"/>
      <c r="E37" s="243">
        <v>14142</v>
      </c>
      <c r="F37" s="243">
        <v>33501</v>
      </c>
      <c r="G37" s="243">
        <v>32236</v>
      </c>
    </row>
    <row r="38" spans="1:7" x14ac:dyDescent="0.35">
      <c r="A38" s="239"/>
      <c r="B38" s="277" t="s">
        <v>290</v>
      </c>
      <c r="C38" s="278"/>
      <c r="D38" s="278"/>
      <c r="E38" s="243">
        <v>2489</v>
      </c>
      <c r="F38" s="243">
        <v>4238</v>
      </c>
      <c r="G38" s="243">
        <v>4740</v>
      </c>
    </row>
    <row r="39" spans="1:7" x14ac:dyDescent="0.35">
      <c r="A39" s="239"/>
      <c r="B39" s="277" t="s">
        <v>291</v>
      </c>
      <c r="C39" s="278"/>
      <c r="D39" s="278"/>
      <c r="E39" s="246">
        <v>-8</v>
      </c>
      <c r="F39" s="246">
        <v>-6</v>
      </c>
      <c r="G39" s="246">
        <v>-7</v>
      </c>
    </row>
    <row r="40" spans="1:7" x14ac:dyDescent="0.35">
      <c r="A40" s="239"/>
      <c r="B40" s="283" t="s">
        <v>292</v>
      </c>
      <c r="C40" s="278"/>
      <c r="D40" s="278"/>
      <c r="E40" s="243">
        <f>SUM(E36:E39)</f>
        <v>16625</v>
      </c>
      <c r="F40" s="243">
        <f>SUM(F36:F39)</f>
        <v>37736</v>
      </c>
      <c r="G40" s="243">
        <f>SUM(G36:G39)</f>
        <v>36972</v>
      </c>
    </row>
    <row r="41" spans="1:7" x14ac:dyDescent="0.35">
      <c r="A41" s="239"/>
      <c r="B41" s="277" t="s">
        <v>293</v>
      </c>
      <c r="C41" s="278"/>
      <c r="D41" s="278"/>
      <c r="E41" s="243">
        <v>805</v>
      </c>
      <c r="F41" s="243">
        <v>2126</v>
      </c>
      <c r="G41" s="243">
        <v>5995</v>
      </c>
    </row>
    <row r="42" spans="1:7" x14ac:dyDescent="0.35">
      <c r="A42" s="239"/>
      <c r="B42" s="283" t="s">
        <v>294</v>
      </c>
      <c r="C42" s="278"/>
      <c r="D42" s="278"/>
      <c r="E42" s="243">
        <f>E40+E41</f>
        <v>17430</v>
      </c>
      <c r="F42" s="243">
        <f>F40+F41</f>
        <v>39862</v>
      </c>
      <c r="G42" s="243">
        <f>G40+G41</f>
        <v>42967</v>
      </c>
    </row>
    <row r="43" spans="1:7" x14ac:dyDescent="0.35">
      <c r="A43" s="239"/>
      <c r="B43" s="281" t="s">
        <v>295</v>
      </c>
      <c r="C43" s="282"/>
      <c r="D43" s="282"/>
      <c r="E43" s="242">
        <f>E33+E42</f>
        <v>29001</v>
      </c>
      <c r="F43" s="242">
        <f>F33+F42</f>
        <v>67292</v>
      </c>
      <c r="G43" s="242">
        <f>G33+G42</f>
        <v>71059</v>
      </c>
    </row>
    <row r="44" spans="1:7" x14ac:dyDescent="0.35">
      <c r="B44" s="276"/>
      <c r="C44" s="253"/>
      <c r="D44" s="253"/>
      <c r="F44" s="1"/>
    </row>
    <row r="45" spans="1:7" x14ac:dyDescent="0.35">
      <c r="B45" s="276"/>
      <c r="C45" s="253"/>
      <c r="D45" s="253"/>
    </row>
    <row r="46" spans="1:7" x14ac:dyDescent="0.35">
      <c r="B46" s="276"/>
      <c r="C46" s="253"/>
      <c r="D46" s="253"/>
    </row>
    <row r="47" spans="1:7" x14ac:dyDescent="0.35">
      <c r="B47" s="276"/>
      <c r="C47" s="253"/>
      <c r="D47" s="253"/>
    </row>
    <row r="48" spans="1:7" x14ac:dyDescent="0.35">
      <c r="B48" s="276"/>
      <c r="C48" s="253"/>
      <c r="D48" s="253"/>
    </row>
    <row r="49" spans="2:4" x14ac:dyDescent="0.35">
      <c r="B49" s="276"/>
      <c r="C49" s="253"/>
      <c r="D49" s="253"/>
    </row>
    <row r="50" spans="2:4" x14ac:dyDescent="0.35">
      <c r="B50" s="276"/>
      <c r="C50" s="253"/>
      <c r="D50" s="253"/>
    </row>
    <row r="51" spans="2:4" x14ac:dyDescent="0.35">
      <c r="B51" s="276"/>
      <c r="C51" s="253"/>
      <c r="D51" s="253"/>
    </row>
    <row r="52" spans="2:4" x14ac:dyDescent="0.35">
      <c r="B52" s="276"/>
      <c r="C52" s="253"/>
      <c r="D52" s="253"/>
    </row>
    <row r="53" spans="2:4" x14ac:dyDescent="0.35">
      <c r="B53" s="276"/>
      <c r="C53" s="253"/>
      <c r="D53" s="253"/>
    </row>
    <row r="54" spans="2:4" x14ac:dyDescent="0.35">
      <c r="B54" s="276"/>
      <c r="C54" s="253"/>
      <c r="D54" s="253"/>
    </row>
    <row r="55" spans="2:4" x14ac:dyDescent="0.35">
      <c r="B55" s="276"/>
      <c r="C55" s="253"/>
      <c r="D55" s="253"/>
    </row>
    <row r="56" spans="2:4" x14ac:dyDescent="0.35">
      <c r="B56" s="276"/>
      <c r="C56" s="253"/>
      <c r="D56" s="253"/>
    </row>
    <row r="57" spans="2:4" x14ac:dyDescent="0.35">
      <c r="B57" s="276"/>
      <c r="C57" s="253"/>
      <c r="D57" s="253"/>
    </row>
    <row r="58" spans="2:4" x14ac:dyDescent="0.35">
      <c r="B58" s="276"/>
      <c r="C58" s="253"/>
      <c r="D58" s="253"/>
    </row>
  </sheetData>
  <mergeCells count="57">
    <mergeCell ref="A1:D2"/>
    <mergeCell ref="B14:D14"/>
    <mergeCell ref="B23:D23"/>
    <mergeCell ref="B30:D30"/>
    <mergeCell ref="B15:D15"/>
    <mergeCell ref="B5:D5"/>
    <mergeCell ref="B4:D4"/>
    <mergeCell ref="B7:D7"/>
    <mergeCell ref="B25:D25"/>
    <mergeCell ref="B3:D3"/>
    <mergeCell ref="B26:D26"/>
    <mergeCell ref="B6:D6"/>
    <mergeCell ref="B8:D8"/>
    <mergeCell ref="B10:D10"/>
    <mergeCell ref="B28:D28"/>
    <mergeCell ref="B19:D19"/>
    <mergeCell ref="B53:D53"/>
    <mergeCell ref="B44:D44"/>
    <mergeCell ref="B29:D29"/>
    <mergeCell ref="B38:D38"/>
    <mergeCell ref="B34:D34"/>
    <mergeCell ref="B49:D49"/>
    <mergeCell ref="B40:D40"/>
    <mergeCell ref="B46:D46"/>
    <mergeCell ref="B41:D41"/>
    <mergeCell ref="B47:D47"/>
    <mergeCell ref="B42:D42"/>
    <mergeCell ref="B36:D36"/>
    <mergeCell ref="B37:D37"/>
    <mergeCell ref="B35:D35"/>
    <mergeCell ref="B50:D50"/>
    <mergeCell ref="B16:D16"/>
    <mergeCell ref="B33:D33"/>
    <mergeCell ref="B31:D31"/>
    <mergeCell ref="B12:D12"/>
    <mergeCell ref="B32:D32"/>
    <mergeCell ref="B22:D22"/>
    <mergeCell ref="B24:D24"/>
    <mergeCell ref="B20:D20"/>
    <mergeCell ref="B17:D17"/>
    <mergeCell ref="B13:D13"/>
    <mergeCell ref="B57:D57"/>
    <mergeCell ref="B11:D11"/>
    <mergeCell ref="B9:D9"/>
    <mergeCell ref="B58:D58"/>
    <mergeCell ref="B56:D56"/>
    <mergeCell ref="B18:D18"/>
    <mergeCell ref="B52:D52"/>
    <mergeCell ref="B21:D21"/>
    <mergeCell ref="B27:D27"/>
    <mergeCell ref="B43:D43"/>
    <mergeCell ref="B39:D39"/>
    <mergeCell ref="B48:D48"/>
    <mergeCell ref="B54:D54"/>
    <mergeCell ref="B55:D55"/>
    <mergeCell ref="B51:D51"/>
    <mergeCell ref="B45:D4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42"/>
  <sheetViews>
    <sheetView showGridLines="0" zoomScale="80" workbookViewId="0">
      <pane xSplit="4" topLeftCell="E1" activePane="topRight" state="frozen"/>
      <selection pane="topRight" activeCell="I8" sqref="I8"/>
    </sheetView>
  </sheetViews>
  <sheetFormatPr defaultRowHeight="14.5" x14ac:dyDescent="0.35"/>
  <cols>
    <col min="4" max="4" width="69.36328125" customWidth="1"/>
  </cols>
  <sheetData>
    <row r="1" spans="1:7" x14ac:dyDescent="0.35">
      <c r="A1" s="285" t="s">
        <v>296</v>
      </c>
      <c r="B1" s="278"/>
      <c r="C1" s="278"/>
      <c r="D1" s="278"/>
      <c r="E1" s="241">
        <v>2023</v>
      </c>
      <c r="F1" s="241">
        <v>2024</v>
      </c>
      <c r="G1" s="241">
        <v>2025</v>
      </c>
    </row>
    <row r="2" spans="1:7" x14ac:dyDescent="0.35">
      <c r="A2" s="278"/>
      <c r="B2" s="278"/>
      <c r="C2" s="278"/>
      <c r="D2" s="278"/>
      <c r="E2" s="241"/>
      <c r="F2" s="241"/>
      <c r="G2" s="241"/>
    </row>
    <row r="3" spans="1:7" x14ac:dyDescent="0.35">
      <c r="A3" s="239"/>
      <c r="B3" s="281" t="s">
        <v>297</v>
      </c>
      <c r="C3" s="282"/>
      <c r="D3" s="282"/>
      <c r="E3" s="239"/>
      <c r="F3" s="239"/>
      <c r="G3" s="239"/>
    </row>
    <row r="4" spans="1:7" x14ac:dyDescent="0.35">
      <c r="A4" s="239"/>
      <c r="B4" s="277" t="s">
        <v>249</v>
      </c>
      <c r="C4" s="278"/>
      <c r="D4" s="278"/>
      <c r="E4" s="242">
        <v>3336</v>
      </c>
      <c r="F4" s="242">
        <v>3701</v>
      </c>
      <c r="G4" s="242">
        <v>1547</v>
      </c>
    </row>
    <row r="5" spans="1:7" x14ac:dyDescent="0.35">
      <c r="A5" s="239"/>
      <c r="B5" s="277" t="s">
        <v>298</v>
      </c>
      <c r="C5" s="278"/>
      <c r="D5" s="278"/>
      <c r="E5" s="239"/>
      <c r="F5" s="239"/>
      <c r="G5" s="239"/>
    </row>
    <row r="6" spans="1:7" x14ac:dyDescent="0.35">
      <c r="A6" s="239"/>
      <c r="B6" s="279" t="s">
        <v>299</v>
      </c>
      <c r="C6" s="278"/>
      <c r="D6" s="278"/>
      <c r="E6" s="243">
        <v>378</v>
      </c>
      <c r="F6" s="243">
        <v>15</v>
      </c>
      <c r="G6" s="246">
        <v>-519</v>
      </c>
    </row>
    <row r="7" spans="1:7" x14ac:dyDescent="0.35">
      <c r="A7" s="239"/>
      <c r="B7" s="279" t="s">
        <v>300</v>
      </c>
      <c r="C7" s="278"/>
      <c r="D7" s="278"/>
      <c r="E7" s="243">
        <v>1746</v>
      </c>
      <c r="F7" s="243">
        <v>2850</v>
      </c>
      <c r="G7" s="243">
        <v>5038</v>
      </c>
    </row>
    <row r="8" spans="1:7" x14ac:dyDescent="0.35">
      <c r="A8" s="239"/>
      <c r="B8" s="279" t="s">
        <v>301</v>
      </c>
      <c r="C8" s="278"/>
      <c r="D8" s="278"/>
      <c r="E8" s="245" t="s">
        <v>238</v>
      </c>
      <c r="F8" s="245" t="s">
        <v>238</v>
      </c>
      <c r="G8" s="243">
        <v>3652</v>
      </c>
    </row>
    <row r="9" spans="1:7" x14ac:dyDescent="0.35">
      <c r="A9" s="239"/>
      <c r="B9" s="279" t="s">
        <v>302</v>
      </c>
      <c r="C9" s="278"/>
      <c r="D9" s="278"/>
      <c r="E9" s="243">
        <v>4</v>
      </c>
      <c r="F9" s="246">
        <v>-2</v>
      </c>
      <c r="G9" s="246">
        <v>-56</v>
      </c>
    </row>
    <row r="10" spans="1:7" x14ac:dyDescent="0.35">
      <c r="A10" s="239"/>
      <c r="B10" s="279" t="s">
        <v>303</v>
      </c>
      <c r="C10" s="278"/>
      <c r="D10" s="278"/>
      <c r="E10" s="243">
        <v>259</v>
      </c>
      <c r="F10" s="246">
        <v>-137</v>
      </c>
      <c r="G10" s="246">
        <v>-341</v>
      </c>
    </row>
    <row r="11" spans="1:7" x14ac:dyDescent="0.35">
      <c r="A11" s="239"/>
      <c r="B11" s="279" t="s">
        <v>304</v>
      </c>
      <c r="C11" s="278"/>
      <c r="D11" s="278"/>
      <c r="E11" s="246">
        <v>-110</v>
      </c>
      <c r="F11" s="246">
        <v>-51</v>
      </c>
      <c r="G11" s="243">
        <v>181</v>
      </c>
    </row>
    <row r="12" spans="1:7" x14ac:dyDescent="0.35">
      <c r="A12" s="239"/>
      <c r="B12" s="279" t="s">
        <v>305</v>
      </c>
      <c r="C12" s="278"/>
      <c r="D12" s="278"/>
      <c r="E12" s="243">
        <v>11</v>
      </c>
      <c r="F12" s="243">
        <v>133</v>
      </c>
      <c r="G12" s="246">
        <v>-430</v>
      </c>
    </row>
    <row r="13" spans="1:7" x14ac:dyDescent="0.35">
      <c r="A13" s="239"/>
      <c r="B13" s="277" t="s">
        <v>306</v>
      </c>
      <c r="C13" s="278"/>
      <c r="D13" s="278"/>
      <c r="E13" s="239"/>
      <c r="F13" s="239"/>
      <c r="G13" s="239"/>
    </row>
    <row r="14" spans="1:7" x14ac:dyDescent="0.35">
      <c r="A14" s="239"/>
      <c r="B14" s="279" t="s">
        <v>307</v>
      </c>
      <c r="C14" s="278"/>
      <c r="D14" s="278"/>
      <c r="E14" s="246">
        <v>-71</v>
      </c>
      <c r="F14" s="246">
        <v>-42</v>
      </c>
      <c r="G14" s="243">
        <v>386</v>
      </c>
    </row>
    <row r="15" spans="1:7" x14ac:dyDescent="0.35">
      <c r="A15" s="239"/>
      <c r="B15" s="279" t="s">
        <v>308</v>
      </c>
      <c r="C15" s="278"/>
      <c r="D15" s="278"/>
      <c r="E15" s="243">
        <v>57</v>
      </c>
      <c r="F15" s="246">
        <v>-376</v>
      </c>
      <c r="G15" s="246">
        <v>-343</v>
      </c>
    </row>
    <row r="16" spans="1:7" x14ac:dyDescent="0.35">
      <c r="A16" s="239"/>
      <c r="B16" s="279" t="s">
        <v>282</v>
      </c>
      <c r="C16" s="278"/>
      <c r="D16" s="278"/>
      <c r="E16" s="246">
        <v>-5</v>
      </c>
      <c r="F16" s="243">
        <v>87</v>
      </c>
      <c r="G16" s="246">
        <v>-399</v>
      </c>
    </row>
    <row r="17" spans="1:7" x14ac:dyDescent="0.35">
      <c r="A17" s="239"/>
      <c r="B17" s="279" t="s">
        <v>280</v>
      </c>
      <c r="C17" s="278"/>
      <c r="D17" s="278"/>
      <c r="E17" s="243">
        <v>123</v>
      </c>
      <c r="F17" s="243">
        <v>168</v>
      </c>
      <c r="G17" s="243">
        <v>15</v>
      </c>
    </row>
    <row r="18" spans="1:7" x14ac:dyDescent="0.35">
      <c r="A18" s="239"/>
      <c r="B18" s="279" t="s">
        <v>305</v>
      </c>
      <c r="C18" s="278"/>
      <c r="D18" s="278"/>
      <c r="E18" s="243">
        <v>192</v>
      </c>
      <c r="F18" s="243">
        <v>67</v>
      </c>
      <c r="G18" s="243">
        <v>27</v>
      </c>
    </row>
    <row r="19" spans="1:7" x14ac:dyDescent="0.35">
      <c r="A19" s="239"/>
      <c r="B19" s="283" t="s">
        <v>309</v>
      </c>
      <c r="C19" s="278"/>
      <c r="D19" s="278"/>
      <c r="E19" s="243">
        <f>SUM(E4:E18)</f>
        <v>5920</v>
      </c>
      <c r="F19" s="243">
        <f>SUM(F4:F18)</f>
        <v>6413</v>
      </c>
      <c r="G19" s="243">
        <f>SUM(G4:G18)</f>
        <v>8758</v>
      </c>
    </row>
    <row r="20" spans="1:7" x14ac:dyDescent="0.35">
      <c r="A20" s="239"/>
      <c r="B20" s="244"/>
      <c r="C20" s="244"/>
      <c r="D20" s="244"/>
      <c r="E20" s="243"/>
      <c r="F20" s="243"/>
      <c r="G20" s="243"/>
    </row>
    <row r="21" spans="1:7" x14ac:dyDescent="0.35">
      <c r="A21" s="239"/>
      <c r="B21" s="281" t="s">
        <v>310</v>
      </c>
      <c r="C21" s="282"/>
      <c r="D21" s="282"/>
      <c r="E21" s="239"/>
      <c r="F21" s="239"/>
      <c r="G21" s="239"/>
    </row>
    <row r="22" spans="1:7" x14ac:dyDescent="0.35">
      <c r="A22" s="239"/>
      <c r="B22" s="277" t="s">
        <v>311</v>
      </c>
      <c r="C22" s="278"/>
      <c r="D22" s="278"/>
      <c r="E22" s="246">
        <v>-2701</v>
      </c>
      <c r="F22" s="246">
        <v>-2867</v>
      </c>
      <c r="G22" s="246">
        <v>-3523</v>
      </c>
    </row>
    <row r="23" spans="1:7" x14ac:dyDescent="0.35">
      <c r="A23" s="239"/>
      <c r="B23" s="277" t="s">
        <v>312</v>
      </c>
      <c r="C23" s="278"/>
      <c r="D23" s="278"/>
      <c r="E23" s="246">
        <v>-2013</v>
      </c>
      <c r="F23" s="246">
        <v>-8920</v>
      </c>
      <c r="G23" s="246">
        <v>-5938</v>
      </c>
    </row>
    <row r="24" spans="1:7" x14ac:dyDescent="0.35">
      <c r="A24" s="239"/>
      <c r="B24" s="277" t="s">
        <v>313</v>
      </c>
      <c r="C24" s="278"/>
      <c r="D24" s="278"/>
      <c r="E24" s="243">
        <v>1407</v>
      </c>
      <c r="F24" s="243">
        <v>467</v>
      </c>
      <c r="G24" s="243">
        <v>1670</v>
      </c>
    </row>
    <row r="25" spans="1:7" x14ac:dyDescent="0.35">
      <c r="A25" s="239"/>
      <c r="B25" s="277" t="s">
        <v>305</v>
      </c>
      <c r="C25" s="278"/>
      <c r="D25" s="278"/>
      <c r="E25" s="246">
        <v>-16</v>
      </c>
      <c r="F25" s="243">
        <v>99</v>
      </c>
      <c r="G25" s="246">
        <v>-18</v>
      </c>
    </row>
    <row r="26" spans="1:7" x14ac:dyDescent="0.35">
      <c r="A26" s="239"/>
      <c r="B26" s="283" t="s">
        <v>314</v>
      </c>
      <c r="C26" s="278"/>
      <c r="D26" s="278"/>
      <c r="E26" s="246">
        <f>SUM(E22:E25)</f>
        <v>-3323</v>
      </c>
      <c r="F26" s="246">
        <f>SUM(F22:F25)</f>
        <v>-11221</v>
      </c>
      <c r="G26" s="246">
        <f>SUM(G22:G25)</f>
        <v>-7809</v>
      </c>
    </row>
    <row r="27" spans="1:7" x14ac:dyDescent="0.35">
      <c r="A27" s="239"/>
      <c r="B27" s="244"/>
      <c r="C27" s="244"/>
      <c r="D27" s="244"/>
      <c r="E27" s="246"/>
      <c r="F27" s="246"/>
      <c r="G27" s="246"/>
    </row>
    <row r="28" spans="1:7" x14ac:dyDescent="0.35">
      <c r="A28" s="239"/>
      <c r="B28" s="281" t="s">
        <v>315</v>
      </c>
      <c r="C28" s="282"/>
      <c r="D28" s="282"/>
      <c r="E28" s="239"/>
      <c r="F28" s="239"/>
      <c r="G28" s="239"/>
    </row>
    <row r="29" spans="1:7" x14ac:dyDescent="0.35">
      <c r="A29" s="239"/>
      <c r="B29" s="277" t="s">
        <v>316</v>
      </c>
      <c r="C29" s="278"/>
      <c r="D29" s="278"/>
      <c r="E29" s="243">
        <v>5179</v>
      </c>
      <c r="F29" s="243">
        <v>9875</v>
      </c>
      <c r="G29" s="243">
        <v>15042</v>
      </c>
    </row>
    <row r="30" spans="1:7" x14ac:dyDescent="0.35">
      <c r="A30" s="239"/>
      <c r="B30" s="277" t="s">
        <v>317</v>
      </c>
      <c r="C30" s="278"/>
      <c r="D30" s="278"/>
      <c r="E30" s="246">
        <v>-4802</v>
      </c>
      <c r="F30" s="246">
        <v>-3502</v>
      </c>
      <c r="G30" s="246">
        <v>-13467</v>
      </c>
    </row>
    <row r="31" spans="1:7" x14ac:dyDescent="0.35">
      <c r="A31" s="239"/>
      <c r="B31" s="277" t="s">
        <v>318</v>
      </c>
      <c r="C31" s="278"/>
      <c r="D31" s="278"/>
      <c r="E31" s="246">
        <v>-840</v>
      </c>
      <c r="F31" s="246">
        <v>-959</v>
      </c>
      <c r="G31" s="246">
        <v>-1705</v>
      </c>
    </row>
    <row r="32" spans="1:7" x14ac:dyDescent="0.35">
      <c r="A32" s="239"/>
      <c r="B32" s="277" t="s">
        <v>319</v>
      </c>
      <c r="C32" s="278"/>
      <c r="D32" s="278"/>
      <c r="E32" s="245" t="s">
        <v>238</v>
      </c>
      <c r="F32" s="245" t="s">
        <v>238</v>
      </c>
      <c r="G32" s="246">
        <v>-305</v>
      </c>
    </row>
    <row r="33" spans="1:7" x14ac:dyDescent="0.35">
      <c r="A33" s="239"/>
      <c r="B33" s="277" t="s">
        <v>320</v>
      </c>
      <c r="C33" s="278"/>
      <c r="D33" s="278"/>
      <c r="E33" s="245" t="s">
        <v>238</v>
      </c>
      <c r="F33" s="243">
        <v>451</v>
      </c>
      <c r="G33" s="245" t="s">
        <v>238</v>
      </c>
    </row>
    <row r="34" spans="1:7" x14ac:dyDescent="0.35">
      <c r="A34" s="239"/>
      <c r="B34" s="277" t="s">
        <v>321</v>
      </c>
      <c r="C34" s="278"/>
      <c r="D34" s="278"/>
      <c r="E34" s="245" t="s">
        <v>238</v>
      </c>
      <c r="F34" s="243">
        <v>476</v>
      </c>
      <c r="G34" s="243">
        <v>1232</v>
      </c>
    </row>
    <row r="35" spans="1:7" x14ac:dyDescent="0.35">
      <c r="A35" s="239"/>
      <c r="B35" s="277" t="s">
        <v>322</v>
      </c>
      <c r="C35" s="278"/>
      <c r="D35" s="278"/>
      <c r="E35" s="246">
        <v>-1444</v>
      </c>
      <c r="F35" s="246">
        <v>-1578</v>
      </c>
      <c r="G35" s="246">
        <v>-1156</v>
      </c>
    </row>
    <row r="36" spans="1:7" x14ac:dyDescent="0.35">
      <c r="A36" s="239"/>
      <c r="B36" s="277" t="s">
        <v>323</v>
      </c>
      <c r="C36" s="278"/>
      <c r="D36" s="278"/>
      <c r="E36" s="246">
        <v>-129</v>
      </c>
      <c r="F36" s="246">
        <v>-227</v>
      </c>
      <c r="G36" s="246">
        <v>-382</v>
      </c>
    </row>
    <row r="37" spans="1:7" x14ac:dyDescent="0.35">
      <c r="A37" s="239"/>
      <c r="B37" s="277" t="s">
        <v>305</v>
      </c>
      <c r="C37" s="278"/>
      <c r="D37" s="278"/>
      <c r="E37" s="246">
        <v>-140</v>
      </c>
      <c r="F37" s="246">
        <v>-149</v>
      </c>
      <c r="G37" s="246">
        <v>-266</v>
      </c>
    </row>
    <row r="38" spans="1:7" x14ac:dyDescent="0.35">
      <c r="A38" s="239"/>
      <c r="B38" s="283" t="s">
        <v>324</v>
      </c>
      <c r="C38" s="278"/>
      <c r="D38" s="278"/>
      <c r="E38" s="246">
        <f>SUM(E29:E37)</f>
        <v>-2176</v>
      </c>
      <c r="F38" s="243">
        <f>SUM(F29:F37)</f>
        <v>4387</v>
      </c>
      <c r="G38" s="246">
        <f>SUM(G29:G37)</f>
        <v>-1007</v>
      </c>
    </row>
    <row r="39" spans="1:7" x14ac:dyDescent="0.35">
      <c r="A39" s="239"/>
      <c r="B39" s="244"/>
      <c r="C39" s="244"/>
      <c r="D39" s="244"/>
      <c r="E39" s="246"/>
      <c r="F39" s="243"/>
      <c r="G39" s="246"/>
    </row>
    <row r="40" spans="1:7" x14ac:dyDescent="0.35">
      <c r="A40" s="239"/>
      <c r="B40" s="283" t="s">
        <v>325</v>
      </c>
      <c r="C40" s="278"/>
      <c r="D40" s="278"/>
      <c r="E40" s="243">
        <f>E19+E26+E38</f>
        <v>421</v>
      </c>
      <c r="F40" s="246">
        <f>F19+F26+F38</f>
        <v>-421</v>
      </c>
      <c r="G40" s="246">
        <f>G19+G26+G38</f>
        <v>-58</v>
      </c>
    </row>
    <row r="41" spans="1:7" x14ac:dyDescent="0.35">
      <c r="A41" s="239"/>
      <c r="B41" s="283" t="s">
        <v>326</v>
      </c>
      <c r="C41" s="278"/>
      <c r="D41" s="278"/>
      <c r="E41" s="243">
        <v>164</v>
      </c>
      <c r="F41" s="243">
        <v>585</v>
      </c>
      <c r="G41" s="243">
        <v>164</v>
      </c>
    </row>
    <row r="42" spans="1:7" x14ac:dyDescent="0.35">
      <c r="A42" s="239"/>
      <c r="B42" s="283" t="s">
        <v>327</v>
      </c>
      <c r="C42" s="278"/>
      <c r="D42" s="278"/>
      <c r="E42" s="242">
        <f>E40+E41</f>
        <v>585</v>
      </c>
      <c r="F42" s="242">
        <f>F40+F41</f>
        <v>164</v>
      </c>
      <c r="G42" s="242">
        <f>G40+G41</f>
        <v>106</v>
      </c>
    </row>
  </sheetData>
  <mergeCells count="38">
    <mergeCell ref="B42:D42"/>
    <mergeCell ref="A1:D2"/>
    <mergeCell ref="B14:D14"/>
    <mergeCell ref="B23:D23"/>
    <mergeCell ref="B8:D8"/>
    <mergeCell ref="B17:D17"/>
    <mergeCell ref="B13:D13"/>
    <mergeCell ref="B29:D29"/>
    <mergeCell ref="B38:D38"/>
    <mergeCell ref="B34:D34"/>
    <mergeCell ref="B10:D10"/>
    <mergeCell ref="B28:D28"/>
    <mergeCell ref="B19:D19"/>
    <mergeCell ref="B37:D37"/>
    <mergeCell ref="B40:D40"/>
    <mergeCell ref="B33:D33"/>
    <mergeCell ref="B36:D36"/>
    <mergeCell ref="B41:D41"/>
    <mergeCell ref="B35:D35"/>
    <mergeCell ref="B9:D9"/>
    <mergeCell ref="B30:D30"/>
    <mergeCell ref="B15:D15"/>
    <mergeCell ref="B24:D24"/>
    <mergeCell ref="B11:D11"/>
    <mergeCell ref="B32:D32"/>
    <mergeCell ref="B26:D26"/>
    <mergeCell ref="B25:D25"/>
    <mergeCell ref="B16:D16"/>
    <mergeCell ref="B3:D3"/>
    <mergeCell ref="B31:D31"/>
    <mergeCell ref="B22:D22"/>
    <mergeCell ref="B18:D18"/>
    <mergeCell ref="B21:D21"/>
    <mergeCell ref="B12:D12"/>
    <mergeCell ref="B4:D4"/>
    <mergeCell ref="B5:D5"/>
    <mergeCell ref="B6:D6"/>
    <mergeCell ref="B7:D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G20"/>
  <sheetViews>
    <sheetView workbookViewId="0">
      <selection activeCell="N19" sqref="N19"/>
    </sheetView>
  </sheetViews>
  <sheetFormatPr defaultRowHeight="14.5" x14ac:dyDescent="0.35"/>
  <cols>
    <col min="2" max="2" width="24.81640625" customWidth="1"/>
    <col min="3" max="3" width="22.36328125" customWidth="1"/>
    <col min="4" max="4" width="12.1796875" customWidth="1"/>
    <col min="5" max="5" width="13.36328125" customWidth="1"/>
    <col min="6" max="6" width="14.08984375" customWidth="1"/>
  </cols>
  <sheetData>
    <row r="1" spans="2:7" x14ac:dyDescent="0.35">
      <c r="B1" s="296" t="s">
        <v>328</v>
      </c>
      <c r="C1" s="296" t="s">
        <v>9</v>
      </c>
      <c r="D1" s="295" t="s">
        <v>17</v>
      </c>
      <c r="E1" s="295" t="s">
        <v>18</v>
      </c>
      <c r="F1" s="295" t="s">
        <v>19</v>
      </c>
      <c r="G1" s="297">
        <v>2022</v>
      </c>
    </row>
    <row r="2" spans="2:7" x14ac:dyDescent="0.35">
      <c r="B2" s="253"/>
      <c r="C2" s="296"/>
      <c r="D2" s="253"/>
      <c r="E2" s="253"/>
      <c r="F2" s="253"/>
      <c r="G2" s="253"/>
    </row>
    <row r="3" spans="2:7" x14ac:dyDescent="0.35">
      <c r="B3" s="196" t="s">
        <v>329</v>
      </c>
      <c r="C3" s="196" t="s">
        <v>442</v>
      </c>
      <c r="D3" s="14">
        <v>96176</v>
      </c>
      <c r="E3" s="14">
        <v>123325</v>
      </c>
      <c r="F3" s="14">
        <v>181462</v>
      </c>
      <c r="G3" s="14">
        <v>81616</v>
      </c>
    </row>
    <row r="4" spans="2:7" x14ac:dyDescent="0.35">
      <c r="B4" s="196" t="s">
        <v>330</v>
      </c>
      <c r="C4" s="196" t="s">
        <v>443</v>
      </c>
      <c r="D4" s="14">
        <v>198117</v>
      </c>
      <c r="E4" s="14">
        <v>275680</v>
      </c>
      <c r="F4" s="14">
        <v>447855</v>
      </c>
      <c r="G4" s="14">
        <v>176376</v>
      </c>
    </row>
    <row r="5" spans="2:7" x14ac:dyDescent="0.35">
      <c r="B5" s="196" t="s">
        <v>331</v>
      </c>
      <c r="C5" s="196" t="s">
        <v>442</v>
      </c>
      <c r="D5" s="14">
        <v>34217</v>
      </c>
      <c r="E5" s="14">
        <v>49700</v>
      </c>
      <c r="F5" s="14">
        <v>80073</v>
      </c>
      <c r="G5" s="15">
        <v>29880</v>
      </c>
    </row>
    <row r="6" spans="2:7" x14ac:dyDescent="0.35">
      <c r="B6" s="196" t="s">
        <v>332</v>
      </c>
      <c r="C6" s="196" t="s">
        <v>444</v>
      </c>
      <c r="D6" s="14">
        <v>163413</v>
      </c>
      <c r="E6" s="14">
        <v>218972</v>
      </c>
      <c r="F6" s="14">
        <v>336178</v>
      </c>
      <c r="G6" s="14">
        <v>140892</v>
      </c>
    </row>
    <row r="7" spans="2:7" x14ac:dyDescent="0.35">
      <c r="B7" s="196" t="s">
        <v>333</v>
      </c>
      <c r="C7" s="196" t="s">
        <v>445</v>
      </c>
      <c r="D7" s="16">
        <v>75.680000000000007</v>
      </c>
      <c r="E7" s="16">
        <v>73.52</v>
      </c>
      <c r="F7" s="16">
        <v>64.040000000000006</v>
      </c>
    </row>
    <row r="8" spans="2:7" x14ac:dyDescent="0.35">
      <c r="B8" s="196" t="s">
        <v>334</v>
      </c>
      <c r="C8" s="196" t="s">
        <v>446</v>
      </c>
      <c r="D8" s="16">
        <v>1.32</v>
      </c>
      <c r="E8" s="16">
        <v>0.32</v>
      </c>
      <c r="F8" s="16">
        <v>0.89</v>
      </c>
    </row>
    <row r="9" spans="2:7" x14ac:dyDescent="0.35">
      <c r="B9" s="196" t="s">
        <v>335</v>
      </c>
      <c r="C9" s="196" t="s">
        <v>445</v>
      </c>
      <c r="D9" s="16">
        <v>20.079999999999998</v>
      </c>
      <c r="E9" s="16">
        <v>18.989999999999998</v>
      </c>
      <c r="F9" s="16">
        <v>17.88</v>
      </c>
    </row>
    <row r="10" spans="2:7" x14ac:dyDescent="0.35">
      <c r="B10" s="196" t="s">
        <v>336</v>
      </c>
      <c r="C10" s="196" t="s">
        <v>447</v>
      </c>
      <c r="D10" s="16">
        <v>50.35</v>
      </c>
      <c r="E10" s="16">
        <v>46.12</v>
      </c>
      <c r="F10" s="16">
        <v>40.020000000000003</v>
      </c>
    </row>
    <row r="11" spans="2:7" x14ac:dyDescent="0.35">
      <c r="B11" s="196" t="s">
        <v>337</v>
      </c>
      <c r="C11" s="196" t="s">
        <v>397</v>
      </c>
      <c r="D11" s="16">
        <v>5.34</v>
      </c>
      <c r="E11" s="16">
        <v>5.87</v>
      </c>
      <c r="F11" s="16">
        <v>5.55</v>
      </c>
    </row>
    <row r="12" spans="2:7" x14ac:dyDescent="0.35">
      <c r="B12" s="196" t="s">
        <v>338</v>
      </c>
      <c r="C12" s="196" t="s">
        <v>397</v>
      </c>
      <c r="D12" s="17">
        <v>3.21</v>
      </c>
      <c r="E12" s="17">
        <v>2.91</v>
      </c>
      <c r="F12" s="17">
        <v>2.5299999999999998</v>
      </c>
    </row>
    <row r="13" spans="2:7" x14ac:dyDescent="0.35">
      <c r="B13" s="196" t="s">
        <v>339</v>
      </c>
      <c r="C13" s="196" t="s">
        <v>397</v>
      </c>
      <c r="D13" s="17">
        <v>1.76</v>
      </c>
      <c r="E13" s="17">
        <v>1.63</v>
      </c>
      <c r="F13" s="17">
        <v>1.53</v>
      </c>
    </row>
    <row r="14" spans="2:7" x14ac:dyDescent="0.35">
      <c r="B14" s="196" t="s">
        <v>340</v>
      </c>
      <c r="C14" s="196" t="s">
        <v>397</v>
      </c>
      <c r="D14" s="17">
        <v>0.59</v>
      </c>
      <c r="E14" s="17">
        <v>0.68</v>
      </c>
      <c r="F14" s="17">
        <v>0.62</v>
      </c>
    </row>
    <row r="15" spans="2:7" x14ac:dyDescent="0.35">
      <c r="B15" s="196" t="s">
        <v>449</v>
      </c>
      <c r="C15" s="196" t="s">
        <v>448</v>
      </c>
      <c r="D15" s="18">
        <f>'Cash Flow Statement'!E22</f>
        <v>-2701</v>
      </c>
      <c r="E15" s="18">
        <f>'Cash Flow Statement'!F22</f>
        <v>-2867</v>
      </c>
      <c r="F15" s="18">
        <f>'Cash Flow Statement'!G22</f>
        <v>-3523</v>
      </c>
    </row>
    <row r="16" spans="2:7" x14ac:dyDescent="0.35">
      <c r="B16" s="196" t="s">
        <v>341</v>
      </c>
      <c r="C16" s="196" t="s">
        <v>448</v>
      </c>
      <c r="D16" s="18">
        <f>'Cash Flow Statement'!E40</f>
        <v>421</v>
      </c>
      <c r="E16" s="18">
        <f>'Cash Flow Statement'!F40</f>
        <v>-421</v>
      </c>
      <c r="F16" s="18">
        <f>'Cash Flow Statement'!G40</f>
        <v>-58</v>
      </c>
    </row>
    <row r="17" spans="2:6" ht="29" x14ac:dyDescent="0.35">
      <c r="B17" s="196" t="s">
        <v>450</v>
      </c>
      <c r="C17" s="196" t="s">
        <v>448</v>
      </c>
      <c r="D17" s="14">
        <f>'Income Statement'!E8</f>
        <v>8339</v>
      </c>
      <c r="E17" s="14">
        <f>'Income Statement'!F8</f>
        <v>11023</v>
      </c>
      <c r="F17" s="14">
        <f>'Income Statement'!G8</f>
        <v>14929</v>
      </c>
    </row>
    <row r="18" spans="2:6" x14ac:dyDescent="0.35">
      <c r="B18" s="196" t="s">
        <v>166</v>
      </c>
      <c r="C18" s="196" t="s">
        <v>448</v>
      </c>
      <c r="D18" s="14">
        <f>'Income Statement'!E44</f>
        <v>3336</v>
      </c>
      <c r="E18" s="14">
        <f>'Income Statement'!F44</f>
        <v>3701</v>
      </c>
      <c r="F18" s="14">
        <f>'Income Statement'!G44</f>
        <v>1547</v>
      </c>
    </row>
    <row r="19" spans="2:6" x14ac:dyDescent="0.35">
      <c r="B19" s="196" t="s">
        <v>342</v>
      </c>
      <c r="C19" s="196" t="s">
        <v>448</v>
      </c>
      <c r="D19" s="1">
        <f>'Balance Sheet'!E24+'Balance Sheet'!E30</f>
        <v>6641</v>
      </c>
      <c r="E19" s="1">
        <f>'Balance Sheet'!F24+'Balance Sheet'!F30</f>
        <v>12975</v>
      </c>
      <c r="F19" s="1">
        <f>'Balance Sheet'!G24+'Balance Sheet'!G30</f>
        <v>14489</v>
      </c>
    </row>
    <row r="20" spans="2:6" x14ac:dyDescent="0.35">
      <c r="B20" s="2"/>
      <c r="C20" s="196"/>
    </row>
  </sheetData>
  <mergeCells count="6">
    <mergeCell ref="D1:D2"/>
    <mergeCell ref="B1:B2"/>
    <mergeCell ref="E1:E2"/>
    <mergeCell ref="F1:F2"/>
    <mergeCell ref="G1:G2"/>
    <mergeCell ref="C1: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Assumptions |</vt:lpstr>
      <vt:lpstr>Summary</vt:lpstr>
      <vt:lpstr>WACC</vt:lpstr>
      <vt:lpstr>Terminal Growth</vt:lpstr>
      <vt:lpstr>Forecast |</vt:lpstr>
      <vt:lpstr>Forecast_IS</vt:lpstr>
      <vt:lpstr>Forecast_BS</vt:lpstr>
      <vt:lpstr>Forecast_CF</vt:lpstr>
      <vt:lpstr>Model |</vt:lpstr>
      <vt:lpstr>DCF</vt:lpstr>
      <vt:lpstr>Historicals |</vt:lpstr>
      <vt:lpstr>Income Statement</vt:lpstr>
      <vt:lpstr>Balance Sheet</vt:lpstr>
      <vt:lpstr>Cash Flow Statement</vt:lpstr>
      <vt:lpstr>Operating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Xiaohan Xu</dc:creator>
  <cp:lastModifiedBy>Xiaohan Xu</cp:lastModifiedBy>
  <dcterms:created xsi:type="dcterms:W3CDTF">2026-06-12T13:00:55Z</dcterms:created>
  <dcterms:modified xsi:type="dcterms:W3CDTF">2026-07-03T10:30:20Z</dcterms:modified>
</cp:coreProperties>
</file>